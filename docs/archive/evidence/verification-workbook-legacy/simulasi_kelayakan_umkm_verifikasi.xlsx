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tunjuk dan Parameter" sheetId="1" r:id="rId1"/>
    <sheet name="RAB (Proyeksi)" sheetId="2" r:id="rId2"/>
    <sheet name="Transaksi Harian (Realisasi)" sheetId="3" r:id="rId3"/>
    <sheet name="Laporan Laba Rugi" sheetId="4" r:id="rId4"/>
    <sheet name="Arus Kas dan Analisis Kelayakan" sheetId="5" r:id="rId5"/>
  </sheets>
  <calcPr fullCalcOnLoad="1"/>
</workbook>
</file>

<file path=xl/styles.xml><?xml version="1.0" encoding="utf-8"?>
<styleSheet xmlns="http://schemas.openxmlformats.org/spreadsheetml/2006/main">
  <numFmts count="2">
    <numFmt numFmtId="164" formatCode="&quot;Rp&quot;\ #,##0"/>
    <numFmt numFmtId="165" formatCode="#,##0.000"/>
  </numFmts>
  <fonts count="4">
    <font>
      <sz val="11"/>
      <name val="Calibri"/>
    </font>
    <font>
      <b/>
      <color rgb="FFFFFFFF"/>
      <sz val="11"/>
      <name val="Calibri"/>
    </font>
    <font>
      <b/>
      <sz val="14"/>
      <color rgb="FF0061A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1A4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5"/>
  <sheetViews>
    <sheetView workbookViewId="0"/>
  </sheetViews>
  <cols>
    <col min="1" max="1" width="34" customWidth="1"/>
    <col min="2" max="2" width="20" customWidth="1"/>
    <col min="3" max="3" width="16" customWidth="1"/>
    <col min="4" max="4" width="78" customWidth="1"/>
  </cols>
  <sheetData>
    <row r="1">
      <c r="A1" s="3" t="inlineStr">
        <is>
          <t xml:space="preserve">Simulasi Kelayakan Usaha UMKM - Berkas Verifikasi Mankeu</t>
        </is>
      </c>
    </row>
    <row r="2">
      <c r="A2" t="inlineStr">
        <is>
          <t xml:space="preserve">Periode simulasi: Februari sampai April 2026</t>
        </is>
      </c>
    </row>
    <row r="3"/>
    <row r="4">
      <c r="A4" s="4" t="inlineStr">
        <is>
          <t xml:space="preserve">Identitas Usaha</t>
        </is>
      </c>
    </row>
    <row r="5">
      <c r="A5" t="inlineStr">
        <is>
          <t xml:space="preserve">Nama usaha</t>
        </is>
      </c>
      <c r="B5" t="inlineStr">
        <is>
          <t xml:space="preserve">Dapur Sambal Nusantara</t>
        </is>
      </c>
    </row>
    <row r="6">
      <c r="A6" t="inlineStr">
        <is>
          <t xml:space="preserve">Nama proyek atau siklus</t>
        </is>
      </c>
      <c r="B6" t="inlineStr">
        <is>
          <t xml:space="preserve">Siklus Produksi Februari - April 2026</t>
        </is>
      </c>
    </row>
    <row r="7">
      <c r="A7" t="inlineStr">
        <is>
          <t xml:space="preserve">Sektor usaha</t>
        </is>
      </c>
      <c r="B7" t="inlineStr">
        <is>
          <t xml:space="preserve">Kuliner / F&amp;B</t>
        </is>
      </c>
    </row>
    <row r="8"/>
    <row r="9">
      <c r="A9" s="4" t="inlineStr">
        <is>
          <t xml:space="preserve">Parameter</t>
        </is>
      </c>
      <c r="B9" s="4" t="inlineStr">
        <is>
          <t xml:space="preserve">Nilai</t>
        </is>
      </c>
      <c r="C9" s="4" t="inlineStr">
        <is>
          <t xml:space="preserve">Satuan</t>
        </is>
      </c>
      <c r="D9" s="4" t="inlineStr">
        <is>
          <t xml:space="preserve">Keterangan</t>
        </is>
      </c>
    </row>
    <row r="10">
      <c r="A10" t="inlineStr">
        <is>
          <t xml:space="preserve">Kapasitas produksi rencana</t>
        </is>
      </c>
      <c r="B10" t="n">
        <v>6000</v>
      </c>
      <c r="C10" t="inlineStr">
        <is>
          <t xml:space="preserve">botol</t>
        </is>
      </c>
      <c r="D10" t="inlineStr">
        <is>
          <t xml:space="preserve">Target keluaran satu siklus produksi tiga bulan</t>
        </is>
      </c>
    </row>
    <row r="11">
      <c r="A11" t="inlineStr">
        <is>
          <t xml:space="preserve">Harga jual satuan</t>
        </is>
      </c>
      <c r="B11" s="2" t="n">
        <v>28000</v>
      </c>
      <c r="C11" t="inlineStr">
        <is>
          <t xml:space="preserve">Rp per botol</t>
        </is>
      </c>
      <c r="D11" t="inlineStr">
        <is>
          <t xml:space="preserve">Harga seragam untuk penjualan tunai maupun tempo pada simulasi ini</t>
        </is>
      </c>
    </row>
    <row r="12">
      <c r="A12" t="inlineStr">
        <is>
          <t xml:space="preserve">Modal awal sendiri</t>
        </is>
      </c>
      <c r="B12" s="2" t="n">
        <v>15000000</v>
      </c>
      <c r="C12" t="inlineStr">
        <is>
          <t xml:space="preserve">Rp</t>
        </is>
      </c>
      <c r="D12" t="inlineStr">
        <is>
          <t xml:space="preserve">Setoran pemilik pada awal siklus</t>
        </is>
      </c>
    </row>
    <row r="13">
      <c r="A13" t="inlineStr">
        <is>
          <t xml:space="preserve">Rencana pinjaman modal kerja</t>
        </is>
      </c>
      <c r="B13" s="2" t="n">
        <v>20000000</v>
      </c>
      <c r="C13" t="inlineStr">
        <is>
          <t xml:space="preserve">Rp</t>
        </is>
      </c>
      <c r="D13" t="inlineStr">
        <is>
          <t xml:space="preserve">Pencairan KUR modal kerja</t>
        </is>
      </c>
    </row>
    <row r="14">
      <c r="A14" t="inlineStr">
        <is>
          <t xml:space="preserve">Suku bunga pinjaman</t>
        </is>
      </c>
      <c r="B14" t="n">
        <v>1200</v>
      </c>
      <c r="C14" t="inlineStr">
        <is>
          <t xml:space="preserve">bps</t>
        </is>
      </c>
      <c r="D14" t="inlineStr">
        <is>
          <t xml:space="preserve">1.200 bps sama dengan 12,00 persen untuk satu siklus</t>
        </is>
      </c>
    </row>
    <row r="15">
      <c r="A15" t="inlineStr">
        <is>
          <t xml:space="preserve">Biaya pembiayaan lainnya</t>
        </is>
      </c>
      <c r="B15" s="2" t="n">
        <v>400000</v>
      </c>
      <c r="C15" t="inlineStr">
        <is>
          <t xml:space="preserve">Rp</t>
        </is>
      </c>
      <c r="D15" t="inlineStr">
        <is>
          <t xml:space="preserve">Biaya administrasi dan provisi pinjaman</t>
        </is>
      </c>
    </row>
    <row r="16">
      <c r="A16" t="inlineStr">
        <is>
          <t xml:space="preserve">Saldo kas awal</t>
        </is>
      </c>
      <c r="B16" s="2" t="n">
        <v>0</v>
      </c>
      <c r="C16" t="inlineStr">
        <is>
          <t xml:space="preserve">Rp</t>
        </is>
      </c>
      <c r="D16" t="inlineStr">
        <is>
          <t xml:space="preserve">Usaha dimulai tanpa saldo kas sebelumnya</t>
        </is>
      </c>
    </row>
    <row r="17"/>
    <row r="18">
      <c r="A18" s="4" t="inlineStr">
        <is>
          <t xml:space="preserve">Cara memakai berkas ini</t>
        </is>
      </c>
    </row>
    <row r="19">
      <c r="A19" t="inlineStr">
        <is>
          <t xml:space="preserve">1.</t>
        </is>
      </c>
      <c r="B19" t="inlineStr">
        <is>
          <t xml:space="preserve">Buat usaha baru di Mankeu dengan sektor Kuliner / F&amp;B, lalu buat satu proyek atau siklus.</t>
        </is>
      </c>
    </row>
    <row r="20">
      <c r="A20" t="inlineStr">
        <is>
          <t xml:space="preserve">2.</t>
        </is>
      </c>
      <c r="B20" t="inlineStr">
        <is>
          <t xml:space="preserve">Buka Berkas dan Data, pilih Ambil dari Excel, lalu pilih berkas ini.</t>
        </is>
      </c>
    </row>
    <row r="21">
      <c r="A21" t="inlineStr">
        <is>
          <t xml:space="preserve">3.</t>
        </is>
      </c>
      <c r="B21" t="inlineStr">
        <is>
          <t xml:space="preserve">Lembar RAB (Proyeksi) masuk ke buku Proyeksi; lembar Transaksi Harian (Realisasi) masuk ke buku Realisasi.</t>
        </is>
      </c>
    </row>
    <row r="22">
      <c r="A22" t="inlineStr">
        <is>
          <t xml:space="preserve">4.</t>
        </is>
      </c>
      <c r="B22" t="inlineStr">
        <is>
          <t xml:space="preserve">Isi Asumsi pada buku Proyeksi dengan nilai parameter di atas; isi Asumsi buku Realisasi hanya dengan volume dan harga jual.</t>
        </is>
      </c>
    </row>
    <row r="23">
      <c r="A23" t="inlineStr">
        <is>
          <t xml:space="preserve">5.</t>
        </is>
      </c>
      <c r="B23" t="inlineStr">
        <is>
          <t xml:space="preserve">Bandingkan angka aplikasi dengan lembar Laporan Laba Rugi dan Arus Kas dan Analisis Kelayakan.</t>
        </is>
      </c>
    </row>
    <row r="24"/>
    <row r="25">
      <c r="A25" s="4" t="inlineStr">
        <is>
          <t xml:space="preserve">Catatan pembacaan</t>
        </is>
      </c>
    </row>
    <row r="26">
      <c r="A26" t="inlineStr">
        <is>
          <t xml:space="preserve">a.</t>
        </is>
      </c>
      <c r="B26" t="inlineStr">
        <is>
          <t xml:space="preserve">Kolom Nominal (Rp) selalu berisi nilai transaksi. Kolom Pengeluaran dan Pemasukan hanya diisi untuk transaksi tunai.</t>
        </is>
      </c>
    </row>
    <row r="27">
      <c r="A27" t="inlineStr">
        <is>
          <t xml:space="preserve">b.</t>
        </is>
      </c>
      <c r="B27" t="inlineStr">
        <is>
          <t xml:space="preserve">Baris Penjualan Tempo dan Belanja Tempo tidak menggerakkan kas, sehingga kolom Saldo Kas tidak berubah pada baris tersebut.</t>
        </is>
      </c>
    </row>
    <row r="28">
      <c r="A28" t="inlineStr">
        <is>
          <t xml:space="preserve">c.</t>
        </is>
      </c>
      <c r="B28" t="inlineStr">
        <is>
          <t xml:space="preserve">Seluruh nilai uang adalah rupiah bulat. Tidak ada pecahan sen di berkas ini maupun di dalam aplikasi.</t>
        </is>
      </c>
    </row>
    <row r="29"/>
    <row r="30">
      <c r="A30" s="4" t="inlineStr">
        <is>
          <t xml:space="preserve">Ringkasan hasil yang harus muncul di aplikasi</t>
        </is>
      </c>
    </row>
    <row r="31">
      <c r="A31" t="inlineStr">
        <is>
          <t xml:space="preserve">Total RAB biaya (Proyeksi)</t>
        </is>
      </c>
      <c r="B31" s="2" t="n">
        <v>141050000</v>
      </c>
    </row>
    <row r="32">
      <c r="A32" t="inlineStr">
        <is>
          <t xml:space="preserve">Target omzet (Proyeksi)</t>
        </is>
      </c>
      <c r="B32" s="2" t="n">
        <v>168000000</v>
      </c>
    </row>
    <row r="33">
      <c r="A33" t="inlineStr">
        <is>
          <t xml:space="preserve">Omzet penjualan (Realisasi)</t>
        </is>
      </c>
      <c r="B33" s="2" t="n">
        <v>149240000</v>
      </c>
    </row>
    <row r="34">
      <c r="A34" t="inlineStr">
        <is>
          <t xml:space="preserve">Laba bersih (Realisasi)</t>
        </is>
      </c>
      <c r="B34" s="2" t="n">
        <v>15650000</v>
      </c>
    </row>
    <row r="35">
      <c r="A35" t="inlineStr">
        <is>
          <t xml:space="preserve">Kas akhir siklus (Realisasi)</t>
        </is>
      </c>
      <c r="B35" s="2" t="n">
        <v>27050000</v>
      </c>
    </row>
  </sheetData>
</worksheet>
</file>

<file path=xl/worksheets/sheet2.xml><?xml version="1.0" encoding="utf-8"?>
<worksheet xmlns="http://schemas.openxmlformats.org/spreadsheetml/2006/main">
  <dimension ref="A1:G60"/>
  <sheetViews>
    <sheetView workbookViewId="0"/>
  </sheetViews>
  <cols>
    <col min="1" max="1" width="6" customWidth="1"/>
    <col min="2" max="2" width="42" customWidth="1"/>
    <col min="3" max="3" width="12" customWidth="1"/>
    <col min="4" max="4" width="14" customWidth="1"/>
    <col min="5" max="5" width="20" customWidth="1"/>
    <col min="6" max="6" width="16" customWidth="1"/>
    <col min="7" max="7" width="22" customWidth="1"/>
  </cols>
  <sheetData>
    <row r="1">
      <c r="A1" s="1" t="inlineStr">
        <is>
          <t xml:space="preserve">No</t>
        </is>
      </c>
      <c r="B1" s="1" t="inlineStr">
        <is>
          <t xml:space="preserve">Uraian</t>
        </is>
      </c>
      <c r="C1" s="1" t="inlineStr">
        <is>
          <t xml:space="preserve">Volume</t>
        </is>
      </c>
      <c r="D1" s="1" t="inlineStr">
        <is>
          <t xml:space="preserve">Satuan</t>
        </is>
      </c>
      <c r="E1" s="1" t="inlineStr">
        <is>
          <t xml:space="preserve">Harga Satuan (Rp)</t>
        </is>
      </c>
      <c r="F1" s="1" t="inlineStr">
        <is>
          <t xml:space="preserve">Bulan Rencana</t>
        </is>
      </c>
      <c r="G1" s="1" t="inlineStr">
        <is>
          <t xml:space="preserve">Total Anggaran (Rp)</t>
        </is>
      </c>
    </row>
    <row r="2">
      <c r="B2" s="4" t="inlineStr">
        <is>
          <t xml:space="preserve">A. Peralatan Dapur dan Kafe</t>
        </is>
      </c>
    </row>
    <row r="3">
      <c r="A3" t="inlineStr">
        <is>
          <t xml:space="preserve">1</t>
        </is>
      </c>
      <c r="B3" t="inlineStr">
        <is>
          <t xml:space="preserve">Mesin giling cabai</t>
        </is>
      </c>
      <c r="C3" t="n">
        <v>1</v>
      </c>
      <c r="D3" t="inlineStr">
        <is>
          <t xml:space="preserve">unit</t>
        </is>
      </c>
      <c r="E3" s="2" t="n">
        <v>4500000</v>
      </c>
      <c r="F3" t="inlineStr">
        <is>
          <t xml:space="preserve">2026-02</t>
        </is>
      </c>
      <c r="G3" s="2">
        <f>C3*E3</f>
        <v>4500000</v>
      </c>
    </row>
    <row r="4">
      <c r="A4" t="inlineStr">
        <is>
          <t xml:space="preserve">2</t>
        </is>
      </c>
      <c r="B4" t="inlineStr">
        <is>
          <t xml:space="preserve">Kompor industri dua tungku</t>
        </is>
      </c>
      <c r="C4" t="n">
        <v>2</v>
      </c>
      <c r="D4" t="inlineStr">
        <is>
          <t xml:space="preserve">unit</t>
        </is>
      </c>
      <c r="E4" s="2" t="n">
        <v>1750000</v>
      </c>
      <c r="F4" t="inlineStr">
        <is>
          <t xml:space="preserve">2026-02</t>
        </is>
      </c>
      <c r="G4" s="2">
        <f>C4*E4</f>
        <v>3500000</v>
      </c>
    </row>
    <row r="5">
      <c r="A5" t="inlineStr">
        <is>
          <t xml:space="preserve">3</t>
        </is>
      </c>
      <c r="B5" t="inlineStr">
        <is>
          <t xml:space="preserve">Mesin sealer botol</t>
        </is>
      </c>
      <c r="C5" t="n">
        <v>1</v>
      </c>
      <c r="D5" t="inlineStr">
        <is>
          <t xml:space="preserve">unit</t>
        </is>
      </c>
      <c r="E5" s="2" t="n">
        <v>2300000</v>
      </c>
      <c r="F5" t="inlineStr">
        <is>
          <t xml:space="preserve">2026-02</t>
        </is>
      </c>
      <c r="G5" s="2">
        <f>C5*E5</f>
        <v>2300000</v>
      </c>
    </row>
    <row r="6">
      <c r="A6" t="inlineStr">
        <is>
          <t xml:space="preserve">4</t>
        </is>
      </c>
      <c r="B6" t="inlineStr">
        <is>
          <t xml:space="preserve">Wajan dan panci stainless</t>
        </is>
      </c>
      <c r="C6" t="n">
        <v>1</v>
      </c>
      <c r="D6" t="inlineStr">
        <is>
          <t xml:space="preserve">set</t>
        </is>
      </c>
      <c r="E6" s="2" t="n">
        <v>1200000</v>
      </c>
      <c r="F6" t="inlineStr">
        <is>
          <t xml:space="preserve">2026-02</t>
        </is>
      </c>
      <c r="G6" s="2">
        <f>C6*E6</f>
        <v>1200000</v>
      </c>
    </row>
    <row r="7">
      <c r="A7" t="inlineStr">
        <is>
          <t xml:space="preserve">5</t>
        </is>
      </c>
      <c r="B7" t="inlineStr">
        <is>
          <t xml:space="preserve">Etalase dan rak simpan</t>
        </is>
      </c>
      <c r="C7" t="n">
        <v>1</v>
      </c>
      <c r="D7" t="inlineStr">
        <is>
          <t xml:space="preserve">unit</t>
        </is>
      </c>
      <c r="E7" s="2" t="n">
        <v>1500000</v>
      </c>
      <c r="F7" t="inlineStr">
        <is>
          <t xml:space="preserve">2026-02</t>
        </is>
      </c>
      <c r="G7" s="2">
        <f>C7*E7</f>
        <v>1500000</v>
      </c>
    </row>
    <row r="8">
      <c r="B8" s="4" t="inlineStr">
        <is>
          <t xml:space="preserve">B. Bahan Baku Makanan</t>
        </is>
      </c>
    </row>
    <row r="9">
      <c r="A9" t="inlineStr">
        <is>
          <t xml:space="preserve">6</t>
        </is>
      </c>
      <c r="B9" t="inlineStr">
        <is>
          <t xml:space="preserve">Cabai rawit merah</t>
        </is>
      </c>
      <c r="C9" t="n">
        <v>400</v>
      </c>
      <c r="D9" t="inlineStr">
        <is>
          <t xml:space="preserve">kg</t>
        </is>
      </c>
      <c r="E9" s="2" t="n">
        <v>45000</v>
      </c>
      <c r="F9" t="inlineStr">
        <is>
          <t xml:space="preserve">2026-02</t>
        </is>
      </c>
      <c r="G9" s="2">
        <f>C9*E9</f>
        <v>18000000</v>
      </c>
    </row>
    <row r="10">
      <c r="A10" t="inlineStr">
        <is>
          <t xml:space="preserve">7</t>
        </is>
      </c>
      <c r="B10" t="inlineStr">
        <is>
          <t xml:space="preserve">Cabai rawit merah</t>
        </is>
      </c>
      <c r="C10" t="n">
        <v>400</v>
      </c>
      <c r="D10" t="inlineStr">
        <is>
          <t xml:space="preserve">kg</t>
        </is>
      </c>
      <c r="E10" s="2" t="n">
        <v>45000</v>
      </c>
      <c r="F10" t="inlineStr">
        <is>
          <t xml:space="preserve">2026-03</t>
        </is>
      </c>
      <c r="G10" s="2">
        <f>C10*E10</f>
        <v>18000000</v>
      </c>
    </row>
    <row r="11">
      <c r="A11" t="inlineStr">
        <is>
          <t xml:space="preserve">8</t>
        </is>
      </c>
      <c r="B11" t="inlineStr">
        <is>
          <t xml:space="preserve">Cabai rawit merah</t>
        </is>
      </c>
      <c r="C11" t="n">
        <v>400</v>
      </c>
      <c r="D11" t="inlineStr">
        <is>
          <t xml:space="preserve">kg</t>
        </is>
      </c>
      <c r="E11" s="2" t="n">
        <v>45000</v>
      </c>
      <c r="F11" t="inlineStr">
        <is>
          <t xml:space="preserve">2026-04</t>
        </is>
      </c>
      <c r="G11" s="2">
        <f>C11*E11</f>
        <v>18000000</v>
      </c>
    </row>
    <row r="12">
      <c r="A12" t="inlineStr">
        <is>
          <t xml:space="preserve">9</t>
        </is>
      </c>
      <c r="B12" t="inlineStr">
        <is>
          <t xml:space="preserve">Bawang merah dan bawang putih</t>
        </is>
      </c>
      <c r="C12" t="n">
        <v>100</v>
      </c>
      <c r="D12" t="inlineStr">
        <is>
          <t xml:space="preserve">kg</t>
        </is>
      </c>
      <c r="E12" s="2" t="n">
        <v>30000</v>
      </c>
      <c r="F12" t="inlineStr">
        <is>
          <t xml:space="preserve">2026-02</t>
        </is>
      </c>
      <c r="G12" s="2">
        <f>C12*E12</f>
        <v>3000000</v>
      </c>
    </row>
    <row r="13">
      <c r="A13" t="inlineStr">
        <is>
          <t xml:space="preserve">10</t>
        </is>
      </c>
      <c r="B13" t="inlineStr">
        <is>
          <t xml:space="preserve">Bawang merah dan bawang putih</t>
        </is>
      </c>
      <c r="C13" t="n">
        <v>100</v>
      </c>
      <c r="D13" t="inlineStr">
        <is>
          <t xml:space="preserve">kg</t>
        </is>
      </c>
      <c r="E13" s="2" t="n">
        <v>30000</v>
      </c>
      <c r="F13" t="inlineStr">
        <is>
          <t xml:space="preserve">2026-03</t>
        </is>
      </c>
      <c r="G13" s="2">
        <f>C13*E13</f>
        <v>3000000</v>
      </c>
    </row>
    <row r="14">
      <c r="A14" t="inlineStr">
        <is>
          <t xml:space="preserve">11</t>
        </is>
      </c>
      <c r="B14" t="inlineStr">
        <is>
          <t xml:space="preserve">Bawang merah dan bawang putih</t>
        </is>
      </c>
      <c r="C14" t="n">
        <v>100</v>
      </c>
      <c r="D14" t="inlineStr">
        <is>
          <t xml:space="preserve">kg</t>
        </is>
      </c>
      <c r="E14" s="2" t="n">
        <v>30000</v>
      </c>
      <c r="F14" t="inlineStr">
        <is>
          <t xml:space="preserve">2026-04</t>
        </is>
      </c>
      <c r="G14" s="2">
        <f>C14*E14</f>
        <v>3000000</v>
      </c>
    </row>
    <row r="15">
      <c r="A15" t="inlineStr">
        <is>
          <t xml:space="preserve">12</t>
        </is>
      </c>
      <c r="B15" t="inlineStr">
        <is>
          <t xml:space="preserve">Minyak goreng curah</t>
        </is>
      </c>
      <c r="C15" t="n">
        <v>200</v>
      </c>
      <c r="D15" t="inlineStr">
        <is>
          <t xml:space="preserve">liter</t>
        </is>
      </c>
      <c r="E15" s="2" t="n">
        <v>18000</v>
      </c>
      <c r="F15" t="inlineStr">
        <is>
          <t xml:space="preserve">2026-02</t>
        </is>
      </c>
      <c r="G15" s="2">
        <f>C15*E15</f>
        <v>3600000</v>
      </c>
    </row>
    <row r="16">
      <c r="A16" t="inlineStr">
        <is>
          <t xml:space="preserve">13</t>
        </is>
      </c>
      <c r="B16" t="inlineStr">
        <is>
          <t xml:space="preserve">Minyak goreng curah</t>
        </is>
      </c>
      <c r="C16" t="n">
        <v>200</v>
      </c>
      <c r="D16" t="inlineStr">
        <is>
          <t xml:space="preserve">liter</t>
        </is>
      </c>
      <c r="E16" s="2" t="n">
        <v>18000</v>
      </c>
      <c r="F16" t="inlineStr">
        <is>
          <t xml:space="preserve">2026-03</t>
        </is>
      </c>
      <c r="G16" s="2">
        <f>C16*E16</f>
        <v>3600000</v>
      </c>
    </row>
    <row r="17">
      <c r="A17" t="inlineStr">
        <is>
          <t xml:space="preserve">14</t>
        </is>
      </c>
      <c r="B17" t="inlineStr">
        <is>
          <t xml:space="preserve">Minyak goreng curah</t>
        </is>
      </c>
      <c r="C17" t="n">
        <v>200</v>
      </c>
      <c r="D17" t="inlineStr">
        <is>
          <t xml:space="preserve">liter</t>
        </is>
      </c>
      <c r="E17" s="2" t="n">
        <v>18000</v>
      </c>
      <c r="F17" t="inlineStr">
        <is>
          <t xml:space="preserve">2026-04</t>
        </is>
      </c>
      <c r="G17" s="2">
        <f>C17*E17</f>
        <v>3600000</v>
      </c>
    </row>
    <row r="18">
      <c r="B18" s="4" t="inlineStr">
        <is>
          <t xml:space="preserve">C. Bahan Minuman dan Bumbu</t>
        </is>
      </c>
    </row>
    <row r="19">
      <c r="A19" t="inlineStr">
        <is>
          <t xml:space="preserve">15</t>
        </is>
      </c>
      <c r="B19" t="inlineStr">
        <is>
          <t xml:space="preserve">Gula, garam, dan penyedap</t>
        </is>
      </c>
      <c r="C19" t="n">
        <v>1</v>
      </c>
      <c r="D19" t="inlineStr">
        <is>
          <t xml:space="preserve">paket</t>
        </is>
      </c>
      <c r="E19" s="2" t="n">
        <v>2200000</v>
      </c>
      <c r="F19" t="inlineStr">
        <is>
          <t xml:space="preserve">2026-02</t>
        </is>
      </c>
      <c r="G19" s="2">
        <f>C19*E19</f>
        <v>2200000</v>
      </c>
    </row>
    <row r="20">
      <c r="A20" t="inlineStr">
        <is>
          <t xml:space="preserve">16</t>
        </is>
      </c>
      <c r="B20" t="inlineStr">
        <is>
          <t xml:space="preserve">Gula, garam, dan penyedap</t>
        </is>
      </c>
      <c r="C20" t="n">
        <v>1</v>
      </c>
      <c r="D20" t="inlineStr">
        <is>
          <t xml:space="preserve">paket</t>
        </is>
      </c>
      <c r="E20" s="2" t="n">
        <v>2200000</v>
      </c>
      <c r="F20" t="inlineStr">
        <is>
          <t xml:space="preserve">2026-03</t>
        </is>
      </c>
      <c r="G20" s="2">
        <f>C20*E20</f>
        <v>2200000</v>
      </c>
    </row>
    <row r="21">
      <c r="A21" t="inlineStr">
        <is>
          <t xml:space="preserve">17</t>
        </is>
      </c>
      <c r="B21" t="inlineStr">
        <is>
          <t xml:space="preserve">Gula, garam, dan penyedap</t>
        </is>
      </c>
      <c r="C21" t="n">
        <v>1</v>
      </c>
      <c r="D21" t="inlineStr">
        <is>
          <t xml:space="preserve">paket</t>
        </is>
      </c>
      <c r="E21" s="2" t="n">
        <v>2200000</v>
      </c>
      <c r="F21" t="inlineStr">
        <is>
          <t xml:space="preserve">2026-04</t>
        </is>
      </c>
      <c r="G21" s="2">
        <f>C21*E21</f>
        <v>2200000</v>
      </c>
    </row>
    <row r="22">
      <c r="B22" s="4" t="inlineStr">
        <is>
          <t xml:space="preserve">D. Kemasan dan Label</t>
        </is>
      </c>
    </row>
    <row r="23">
      <c r="A23" t="inlineStr">
        <is>
          <t xml:space="preserve">18</t>
        </is>
      </c>
      <c r="B23" t="inlineStr">
        <is>
          <t xml:space="preserve">Botol kaca dan tutup</t>
        </is>
      </c>
      <c r="C23" t="n">
        <v>2000</v>
      </c>
      <c r="D23" t="inlineStr">
        <is>
          <t xml:space="preserve">pcs</t>
        </is>
      </c>
      <c r="E23" s="2" t="n">
        <v>2500</v>
      </c>
      <c r="F23" t="inlineStr">
        <is>
          <t xml:space="preserve">2026-02</t>
        </is>
      </c>
      <c r="G23" s="2">
        <f>C23*E23</f>
        <v>5000000</v>
      </c>
    </row>
    <row r="24">
      <c r="A24" t="inlineStr">
        <is>
          <t xml:space="preserve">19</t>
        </is>
      </c>
      <c r="B24" t="inlineStr">
        <is>
          <t xml:space="preserve">Botol kaca dan tutup</t>
        </is>
      </c>
      <c r="C24" t="n">
        <v>2000</v>
      </c>
      <c r="D24" t="inlineStr">
        <is>
          <t xml:space="preserve">pcs</t>
        </is>
      </c>
      <c r="E24" s="2" t="n">
        <v>2500</v>
      </c>
      <c r="F24" t="inlineStr">
        <is>
          <t xml:space="preserve">2026-03</t>
        </is>
      </c>
      <c r="G24" s="2">
        <f>C24*E24</f>
        <v>5000000</v>
      </c>
    </row>
    <row r="25">
      <c r="A25" t="inlineStr">
        <is>
          <t xml:space="preserve">20</t>
        </is>
      </c>
      <c r="B25" t="inlineStr">
        <is>
          <t xml:space="preserve">Botol kaca dan tutup</t>
        </is>
      </c>
      <c r="C25" t="n">
        <v>2000</v>
      </c>
      <c r="D25" t="inlineStr">
        <is>
          <t xml:space="preserve">pcs</t>
        </is>
      </c>
      <c r="E25" s="2" t="n">
        <v>2500</v>
      </c>
      <c r="F25" t="inlineStr">
        <is>
          <t xml:space="preserve">2026-04</t>
        </is>
      </c>
      <c r="G25" s="2">
        <f>C25*E25</f>
        <v>5000000</v>
      </c>
    </row>
    <row r="26">
      <c r="A26" t="inlineStr">
        <is>
          <t xml:space="preserve">21</t>
        </is>
      </c>
      <c r="B26" t="inlineStr">
        <is>
          <t xml:space="preserve">Label dan segel</t>
        </is>
      </c>
      <c r="C26" t="n">
        <v>2000</v>
      </c>
      <c r="D26" t="inlineStr">
        <is>
          <t xml:space="preserve">pcs</t>
        </is>
      </c>
      <c r="E26" s="2" t="n">
        <v>500</v>
      </c>
      <c r="F26" t="inlineStr">
        <is>
          <t xml:space="preserve">2026-02</t>
        </is>
      </c>
      <c r="G26" s="2">
        <f>C26*E26</f>
        <v>1000000</v>
      </c>
    </row>
    <row r="27">
      <c r="A27" t="inlineStr">
        <is>
          <t xml:space="preserve">22</t>
        </is>
      </c>
      <c r="B27" t="inlineStr">
        <is>
          <t xml:space="preserve">Label dan segel</t>
        </is>
      </c>
      <c r="C27" t="n">
        <v>2000</v>
      </c>
      <c r="D27" t="inlineStr">
        <is>
          <t xml:space="preserve">pcs</t>
        </is>
      </c>
      <c r="E27" s="2" t="n">
        <v>500</v>
      </c>
      <c r="F27" t="inlineStr">
        <is>
          <t xml:space="preserve">2026-03</t>
        </is>
      </c>
      <c r="G27" s="2">
        <f>C27*E27</f>
        <v>1000000</v>
      </c>
    </row>
    <row r="28">
      <c r="A28" t="inlineStr">
        <is>
          <t xml:space="preserve">23</t>
        </is>
      </c>
      <c r="B28" t="inlineStr">
        <is>
          <t xml:space="preserve">Label dan segel</t>
        </is>
      </c>
      <c r="C28" t="n">
        <v>2000</v>
      </c>
      <c r="D28" t="inlineStr">
        <is>
          <t xml:space="preserve">pcs</t>
        </is>
      </c>
      <c r="E28" s="2" t="n">
        <v>500</v>
      </c>
      <c r="F28" t="inlineStr">
        <is>
          <t xml:space="preserve">2026-04</t>
        </is>
      </c>
      <c r="G28" s="2">
        <f>C28*E28</f>
        <v>1000000</v>
      </c>
    </row>
    <row r="29">
      <c r="B29" s="4" t="inlineStr">
        <is>
          <t xml:space="preserve">E. Gaji Koki dan Pegawai</t>
        </is>
      </c>
    </row>
    <row r="30">
      <c r="A30" t="inlineStr">
        <is>
          <t xml:space="preserve">24</t>
        </is>
      </c>
      <c r="B30" t="inlineStr">
        <is>
          <t xml:space="preserve">Gaji dua karyawan produksi</t>
        </is>
      </c>
      <c r="C30" t="n">
        <v>2</v>
      </c>
      <c r="D30" t="inlineStr">
        <is>
          <t xml:space="preserve">orang-bulan</t>
        </is>
      </c>
      <c r="E30" s="2" t="n">
        <v>2000000</v>
      </c>
      <c r="F30" t="inlineStr">
        <is>
          <t xml:space="preserve">2026-02</t>
        </is>
      </c>
      <c r="G30" s="2">
        <f>C30*E30</f>
        <v>4000000</v>
      </c>
    </row>
    <row r="31">
      <c r="A31" t="inlineStr">
        <is>
          <t xml:space="preserve">25</t>
        </is>
      </c>
      <c r="B31" t="inlineStr">
        <is>
          <t xml:space="preserve">Gaji dua karyawan produksi</t>
        </is>
      </c>
      <c r="C31" t="n">
        <v>2</v>
      </c>
      <c r="D31" t="inlineStr">
        <is>
          <t xml:space="preserve">orang-bulan</t>
        </is>
      </c>
      <c r="E31" s="2" t="n">
        <v>2000000</v>
      </c>
      <c r="F31" t="inlineStr">
        <is>
          <t xml:space="preserve">2026-03</t>
        </is>
      </c>
      <c r="G31" s="2">
        <f>C31*E31</f>
        <v>4000000</v>
      </c>
    </row>
    <row r="32">
      <c r="A32" t="inlineStr">
        <is>
          <t xml:space="preserve">26</t>
        </is>
      </c>
      <c r="B32" t="inlineStr">
        <is>
          <t xml:space="preserve">Gaji dua karyawan produksi</t>
        </is>
      </c>
      <c r="C32" t="n">
        <v>2</v>
      </c>
      <c r="D32" t="inlineStr">
        <is>
          <t xml:space="preserve">orang-bulan</t>
        </is>
      </c>
      <c r="E32" s="2" t="n">
        <v>2000000</v>
      </c>
      <c r="F32" t="inlineStr">
        <is>
          <t xml:space="preserve">2026-04</t>
        </is>
      </c>
      <c r="G32" s="2">
        <f>C32*E32</f>
        <v>4000000</v>
      </c>
    </row>
    <row r="33">
      <c r="B33" s="4" t="inlineStr">
        <is>
          <t xml:space="preserve">F. Sewa Tempat</t>
        </is>
      </c>
    </row>
    <row r="34">
      <c r="A34" t="inlineStr">
        <is>
          <t xml:space="preserve">27</t>
        </is>
      </c>
      <c r="B34" t="inlineStr">
        <is>
          <t xml:space="preserve">Sewa dapur produksi</t>
        </is>
      </c>
      <c r="C34" t="n">
        <v>1</v>
      </c>
      <c r="D34" t="inlineStr">
        <is>
          <t xml:space="preserve">bulan</t>
        </is>
      </c>
      <c r="E34" s="2" t="n">
        <v>2500000</v>
      </c>
      <c r="F34" t="inlineStr">
        <is>
          <t xml:space="preserve">2026-02</t>
        </is>
      </c>
      <c r="G34" s="2">
        <f>C34*E34</f>
        <v>2500000</v>
      </c>
    </row>
    <row r="35">
      <c r="A35" t="inlineStr">
        <is>
          <t xml:space="preserve">28</t>
        </is>
      </c>
      <c r="B35" t="inlineStr">
        <is>
          <t xml:space="preserve">Sewa dapur produksi</t>
        </is>
      </c>
      <c r="C35" t="n">
        <v>1</v>
      </c>
      <c r="D35" t="inlineStr">
        <is>
          <t xml:space="preserve">bulan</t>
        </is>
      </c>
      <c r="E35" s="2" t="n">
        <v>2500000</v>
      </c>
      <c r="F35" t="inlineStr">
        <is>
          <t xml:space="preserve">2026-03</t>
        </is>
      </c>
      <c r="G35" s="2">
        <f>C35*E35</f>
        <v>2500000</v>
      </c>
    </row>
    <row r="36">
      <c r="A36" t="inlineStr">
        <is>
          <t xml:space="preserve">29</t>
        </is>
      </c>
      <c r="B36" t="inlineStr">
        <is>
          <t xml:space="preserve">Sewa dapur produksi</t>
        </is>
      </c>
      <c r="C36" t="n">
        <v>1</v>
      </c>
      <c r="D36" t="inlineStr">
        <is>
          <t xml:space="preserve">bulan</t>
        </is>
      </c>
      <c r="E36" s="2" t="n">
        <v>2500000</v>
      </c>
      <c r="F36" t="inlineStr">
        <is>
          <t xml:space="preserve">2026-04</t>
        </is>
      </c>
      <c r="G36" s="2">
        <f>C36*E36</f>
        <v>2500000</v>
      </c>
    </row>
    <row r="37">
      <c r="B37" s="4" t="inlineStr">
        <is>
          <t xml:space="preserve">G. Gas, Listrik dan Air</t>
        </is>
      </c>
    </row>
    <row r="38">
      <c r="A38" t="inlineStr">
        <is>
          <t xml:space="preserve">30</t>
        </is>
      </c>
      <c r="B38" t="inlineStr">
        <is>
          <t xml:space="preserve">Gas, listrik, dan air dapur</t>
        </is>
      </c>
      <c r="C38" t="n">
        <v>1</v>
      </c>
      <c r="D38" t="inlineStr">
        <is>
          <t xml:space="preserve">bulan</t>
        </is>
      </c>
      <c r="E38" s="2" t="n">
        <v>1150000</v>
      </c>
      <c r="F38" t="inlineStr">
        <is>
          <t xml:space="preserve">2026-02</t>
        </is>
      </c>
      <c r="G38" s="2">
        <f>C38*E38</f>
        <v>1150000</v>
      </c>
    </row>
    <row r="39">
      <c r="A39" t="inlineStr">
        <is>
          <t xml:space="preserve">31</t>
        </is>
      </c>
      <c r="B39" t="inlineStr">
        <is>
          <t xml:space="preserve">Gas, listrik, dan air dapur</t>
        </is>
      </c>
      <c r="C39" t="n">
        <v>1</v>
      </c>
      <c r="D39" t="inlineStr">
        <is>
          <t xml:space="preserve">bulan</t>
        </is>
      </c>
      <c r="E39" s="2" t="n">
        <v>1150000</v>
      </c>
      <c r="F39" t="inlineStr">
        <is>
          <t xml:space="preserve">2026-03</t>
        </is>
      </c>
      <c r="G39" s="2">
        <f>C39*E39</f>
        <v>1150000</v>
      </c>
    </row>
    <row r="40">
      <c r="A40" t="inlineStr">
        <is>
          <t xml:space="preserve">32</t>
        </is>
      </c>
      <c r="B40" t="inlineStr">
        <is>
          <t xml:space="preserve">Gas, listrik, dan air dapur</t>
        </is>
      </c>
      <c r="C40" t="n">
        <v>1</v>
      </c>
      <c r="D40" t="inlineStr">
        <is>
          <t xml:space="preserve">bulan</t>
        </is>
      </c>
      <c r="E40" s="2" t="n">
        <v>1150000</v>
      </c>
      <c r="F40" t="inlineStr">
        <is>
          <t xml:space="preserve">2026-04</t>
        </is>
      </c>
      <c r="G40" s="2">
        <f>C40*E40</f>
        <v>1150000</v>
      </c>
    </row>
    <row r="41">
      <c r="B41" s="4" t="inlineStr">
        <is>
          <t xml:space="preserve">H. Perizinan dan Administrasi</t>
        </is>
      </c>
    </row>
    <row r="42">
      <c r="A42" t="inlineStr">
        <is>
          <t xml:space="preserve">33</t>
        </is>
      </c>
      <c r="B42" t="inlineStr">
        <is>
          <t xml:space="preserve">Perizinan PIRT dan sertifikasi halal</t>
        </is>
      </c>
      <c r="C42" t="n">
        <v>1</v>
      </c>
      <c r="D42" t="inlineStr">
        <is>
          <t xml:space="preserve">paket</t>
        </is>
      </c>
      <c r="E42" s="2" t="n">
        <v>1750000</v>
      </c>
      <c r="F42" t="inlineStr">
        <is>
          <t xml:space="preserve">2026-02</t>
        </is>
      </c>
      <c r="G42" s="2">
        <f>C42*E42</f>
        <v>1750000</v>
      </c>
    </row>
    <row r="43">
      <c r="A43" t="inlineStr">
        <is>
          <t xml:space="preserve">34</t>
        </is>
      </c>
      <c r="B43" t="inlineStr">
        <is>
          <t xml:space="preserve">Administrasi dan alat tulis kantor</t>
        </is>
      </c>
      <c r="C43" t="n">
        <v>1</v>
      </c>
      <c r="D43" t="inlineStr">
        <is>
          <t xml:space="preserve">bulan</t>
        </is>
      </c>
      <c r="E43" s="2" t="n">
        <v>250000</v>
      </c>
      <c r="F43" t="inlineStr">
        <is>
          <t xml:space="preserve">2026-02</t>
        </is>
      </c>
      <c r="G43" s="2">
        <f>C43*E43</f>
        <v>250000</v>
      </c>
    </row>
    <row r="44">
      <c r="A44" t="inlineStr">
        <is>
          <t xml:space="preserve">35</t>
        </is>
      </c>
      <c r="B44" t="inlineStr">
        <is>
          <t xml:space="preserve">Administrasi dan alat tulis kantor</t>
        </is>
      </c>
      <c r="C44" t="n">
        <v>1</v>
      </c>
      <c r="D44" t="inlineStr">
        <is>
          <t xml:space="preserve">bulan</t>
        </is>
      </c>
      <c r="E44" s="2" t="n">
        <v>250000</v>
      </c>
      <c r="F44" t="inlineStr">
        <is>
          <t xml:space="preserve">2026-03</t>
        </is>
      </c>
      <c r="G44" s="2">
        <f>C44*E44</f>
        <v>250000</v>
      </c>
    </row>
    <row r="45">
      <c r="A45" t="inlineStr">
        <is>
          <t xml:space="preserve">36</t>
        </is>
      </c>
      <c r="B45" t="inlineStr">
        <is>
          <t xml:space="preserve">Administrasi dan alat tulis kantor</t>
        </is>
      </c>
      <c r="C45" t="n">
        <v>1</v>
      </c>
      <c r="D45" t="inlineStr">
        <is>
          <t xml:space="preserve">bulan</t>
        </is>
      </c>
      <c r="E45" s="2" t="n">
        <v>250000</v>
      </c>
      <c r="F45" t="inlineStr">
        <is>
          <t xml:space="preserve">2026-04</t>
        </is>
      </c>
      <c r="G45" s="2">
        <f>C45*E45</f>
        <v>250000</v>
      </c>
    </row>
    <row r="46">
      <c r="B46" s="4" t="inlineStr">
        <is>
          <t xml:space="preserve">I. Pemasaran dan Promosi</t>
        </is>
      </c>
    </row>
    <row r="47">
      <c r="A47" t="inlineStr">
        <is>
          <t xml:space="preserve">37</t>
        </is>
      </c>
      <c r="B47" t="inlineStr">
        <is>
          <t xml:space="preserve">Konten, iklan, dan bazar UMKM</t>
        </is>
      </c>
      <c r="C47" t="n">
        <v>1</v>
      </c>
      <c r="D47" t="inlineStr">
        <is>
          <t xml:space="preserve">bulan</t>
        </is>
      </c>
      <c r="E47" s="2" t="n">
        <v>800000</v>
      </c>
      <c r="F47" t="inlineStr">
        <is>
          <t xml:space="preserve">2026-02</t>
        </is>
      </c>
      <c r="G47" s="2">
        <f>C47*E47</f>
        <v>800000</v>
      </c>
    </row>
    <row r="48">
      <c r="A48" t="inlineStr">
        <is>
          <t xml:space="preserve">38</t>
        </is>
      </c>
      <c r="B48" t="inlineStr">
        <is>
          <t xml:space="preserve">Konten, iklan, dan bazar UMKM</t>
        </is>
      </c>
      <c r="C48" t="n">
        <v>1</v>
      </c>
      <c r="D48" t="inlineStr">
        <is>
          <t xml:space="preserve">bulan</t>
        </is>
      </c>
      <c r="E48" s="2" t="n">
        <v>800000</v>
      </c>
      <c r="F48" t="inlineStr">
        <is>
          <t xml:space="preserve">2026-03</t>
        </is>
      </c>
      <c r="G48" s="2">
        <f>C48*E48</f>
        <v>800000</v>
      </c>
    </row>
    <row r="49">
      <c r="A49" t="inlineStr">
        <is>
          <t xml:space="preserve">39</t>
        </is>
      </c>
      <c r="B49" t="inlineStr">
        <is>
          <t xml:space="preserve">Konten, iklan, dan bazar UMKM</t>
        </is>
      </c>
      <c r="C49" t="n">
        <v>1</v>
      </c>
      <c r="D49" t="inlineStr">
        <is>
          <t xml:space="preserve">bulan</t>
        </is>
      </c>
      <c r="E49" s="2" t="n">
        <v>800000</v>
      </c>
      <c r="F49" t="inlineStr">
        <is>
          <t xml:space="preserve">2026-04</t>
        </is>
      </c>
      <c r="G49" s="2">
        <f>C49*E49</f>
        <v>800000</v>
      </c>
    </row>
    <row r="50">
      <c r="B50" s="4" t="inlineStr">
        <is>
          <t xml:space="preserve">J. Transport dan Pengiriman</t>
        </is>
      </c>
    </row>
    <row r="51">
      <c r="A51" t="inlineStr">
        <is>
          <t xml:space="preserve">40</t>
        </is>
      </c>
      <c r="B51" t="inlineStr">
        <is>
          <t xml:space="preserve">Ongkos kirim pesanan luar kota</t>
        </is>
      </c>
      <c r="C51" t="n">
        <v>1</v>
      </c>
      <c r="D51" t="inlineStr">
        <is>
          <t xml:space="preserve">bulan</t>
        </is>
      </c>
      <c r="E51" s="2" t="n">
        <v>600000</v>
      </c>
      <c r="F51" t="inlineStr">
        <is>
          <t xml:space="preserve">2026-02</t>
        </is>
      </c>
      <c r="G51" s="2">
        <f>C51*E51</f>
        <v>600000</v>
      </c>
    </row>
    <row r="52">
      <c r="A52" t="inlineStr">
        <is>
          <t xml:space="preserve">41</t>
        </is>
      </c>
      <c r="B52" t="inlineStr">
        <is>
          <t xml:space="preserve">Ongkos kirim pesanan luar kota</t>
        </is>
      </c>
      <c r="C52" t="n">
        <v>1</v>
      </c>
      <c r="D52" t="inlineStr">
        <is>
          <t xml:space="preserve">bulan</t>
        </is>
      </c>
      <c r="E52" s="2" t="n">
        <v>600000</v>
      </c>
      <c r="F52" t="inlineStr">
        <is>
          <t xml:space="preserve">2026-03</t>
        </is>
      </c>
      <c r="G52" s="2">
        <f>C52*E52</f>
        <v>600000</v>
      </c>
    </row>
    <row r="53">
      <c r="A53" t="inlineStr">
        <is>
          <t xml:space="preserve">42</t>
        </is>
      </c>
      <c r="B53" t="inlineStr">
        <is>
          <t xml:space="preserve">Ongkos kirim pesanan luar kota</t>
        </is>
      </c>
      <c r="C53" t="n">
        <v>1</v>
      </c>
      <c r="D53" t="inlineStr">
        <is>
          <t xml:space="preserve">bulan</t>
        </is>
      </c>
      <c r="E53" s="2" t="n">
        <v>600000</v>
      </c>
      <c r="F53" t="inlineStr">
        <is>
          <t xml:space="preserve">2026-04</t>
        </is>
      </c>
      <c r="G53" s="2">
        <f>C53*E53</f>
        <v>600000</v>
      </c>
    </row>
    <row r="54">
      <c r="B54" s="4" t="inlineStr">
        <is>
          <t xml:space="preserve">K. Penjualan Makanan dan Minuman</t>
        </is>
      </c>
    </row>
    <row r="55">
      <c r="A55" t="inlineStr">
        <is>
          <t xml:space="preserve">43</t>
        </is>
      </c>
      <c r="B55" t="inlineStr">
        <is>
          <t xml:space="preserve">Target penjualan sambal kemasan</t>
        </is>
      </c>
      <c r="C55" t="n">
        <v>1500</v>
      </c>
      <c r="D55" t="inlineStr">
        <is>
          <t xml:space="preserve">botol</t>
        </is>
      </c>
      <c r="E55" s="2" t="n">
        <v>28000</v>
      </c>
      <c r="F55" t="inlineStr">
        <is>
          <t xml:space="preserve">2026-02</t>
        </is>
      </c>
      <c r="G55" s="2">
        <f>C55*E55</f>
        <v>42000000</v>
      </c>
    </row>
    <row r="56">
      <c r="A56" t="inlineStr">
        <is>
          <t xml:space="preserve">44</t>
        </is>
      </c>
      <c r="B56" t="inlineStr">
        <is>
          <t xml:space="preserve">Target penjualan sambal kemasan</t>
        </is>
      </c>
      <c r="C56" t="n">
        <v>2000</v>
      </c>
      <c r="D56" t="inlineStr">
        <is>
          <t xml:space="preserve">botol</t>
        </is>
      </c>
      <c r="E56" s="2" t="n">
        <v>28000</v>
      </c>
      <c r="F56" t="inlineStr">
        <is>
          <t xml:space="preserve">2026-03</t>
        </is>
      </c>
      <c r="G56" s="2">
        <f>C56*E56</f>
        <v>56000000</v>
      </c>
    </row>
    <row r="57">
      <c r="A57" t="inlineStr">
        <is>
          <t xml:space="preserve">45</t>
        </is>
      </c>
      <c r="B57" t="inlineStr">
        <is>
          <t xml:space="preserve">Target penjualan sambal kemasan</t>
        </is>
      </c>
      <c r="C57" t="n">
        <v>2500</v>
      </c>
      <c r="D57" t="inlineStr">
        <is>
          <t xml:space="preserve">botol</t>
        </is>
      </c>
      <c r="E57" s="2" t="n">
        <v>28000</v>
      </c>
      <c r="F57" t="inlineStr">
        <is>
          <t xml:space="preserve">2026-04</t>
        </is>
      </c>
      <c r="G57" s="2">
        <f>C57*E57</f>
        <v>70000000</v>
      </c>
    </row>
    <row r="58"/>
    <row r="59">
      <c r="B59" s="4" t="inlineStr">
        <is>
          <t xml:space="preserve">Total anggaran biaya</t>
        </is>
      </c>
      <c r="G59" s="5" t="n">
        <v>141050000</v>
      </c>
    </row>
    <row r="60">
      <c r="B60" s="4" t="inlineStr">
        <is>
          <t xml:space="preserve">Total target omzet</t>
        </is>
      </c>
      <c r="G60" s="5" t="n">
        <v>168000000</v>
      </c>
    </row>
  </sheetData>
</worksheet>
</file>

<file path=xl/worksheets/sheet3.xml><?xml version="1.0" encoding="utf-8"?>
<worksheet xmlns="http://schemas.openxmlformats.org/spreadsheetml/2006/main">
  <dimension ref="A1:N57"/>
  <sheetViews>
    <sheetView workbookViewId="0"/>
  </sheetViews>
  <cols>
    <col min="1" max="1" width="12" customWidth="1"/>
    <col min="2" max="2" width="22" customWidth="1"/>
    <col min="3" max="3" width="44" customWidth="1"/>
    <col min="4" max="4" width="30" customWidth="1"/>
    <col min="5" max="5" width="22" customWidth="1"/>
    <col min="6" max="6" width="14" customWidth="1"/>
    <col min="7" max="7" width="14" customWidth="1"/>
    <col min="8" max="8" width="10" customWidth="1"/>
    <col min="9" max="9" width="14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</cols>
  <sheetData>
    <row r="1">
      <c r="A1" s="1" t="inlineStr">
        <is>
          <t xml:space="preserve">Tanggal</t>
        </is>
      </c>
      <c r="B1" s="1" t="inlineStr">
        <is>
          <t xml:space="preserve">Jenis</t>
        </is>
      </c>
      <c r="C1" s="1" t="inlineStr">
        <is>
          <t xml:space="preserve">Uraian</t>
        </is>
      </c>
      <c r="D1" s="1" t="inlineStr">
        <is>
          <t xml:space="preserve">Kategori</t>
        </is>
      </c>
      <c r="E1" s="1" t="inlineStr">
        <is>
          <t xml:space="preserve">Pihak</t>
        </is>
      </c>
      <c r="F1" s="1" t="inlineStr">
        <is>
          <t xml:space="preserve">Jatuh Tempo</t>
        </is>
      </c>
      <c r="G1" s="1" t="inlineStr">
        <is>
          <t xml:space="preserve">No. Kewajiban</t>
        </is>
      </c>
      <c r="H1" s="1" t="inlineStr">
        <is>
          <t xml:space="preserve">Volume</t>
        </is>
      </c>
      <c r="I1" s="1" t="inlineStr">
        <is>
          <t xml:space="preserve">Satuan</t>
        </is>
      </c>
      <c r="J1" s="1" t="inlineStr">
        <is>
          <t xml:space="preserve">Harga Satuan (Rp)</t>
        </is>
      </c>
      <c r="K1" s="1" t="inlineStr">
        <is>
          <t xml:space="preserve">Nominal (Rp)</t>
        </is>
      </c>
      <c r="L1" s="1" t="inlineStr">
        <is>
          <t xml:space="preserve">Pengeluaran (Rp)</t>
        </is>
      </c>
      <c r="M1" s="1" t="inlineStr">
        <is>
          <t xml:space="preserve">Pemasukan (Rp)</t>
        </is>
      </c>
      <c r="N1" s="1" t="inlineStr">
        <is>
          <t xml:space="preserve">Saldo Kas (Rp)</t>
        </is>
      </c>
    </row>
    <row r="2">
      <c r="A2" t="inlineStr">
        <is>
          <t xml:space="preserve">2026-02-01</t>
        </is>
      </c>
      <c r="B2" t="inlineStr">
        <is>
          <t xml:space="preserve">Modal Masuk</t>
        </is>
      </c>
      <c r="C2" t="inlineStr">
        <is>
          <t xml:space="preserve">Setoran modal awal pemilik</t>
        </is>
      </c>
      <c r="D2" t="inlineStr">
        <is>
          <t xml:space="preserve">Modal Sendiri</t>
        </is>
      </c>
      <c r="K2" s="2" t="n">
        <v>15000000</v>
      </c>
      <c r="M2" s="2" t="n">
        <v>15000000</v>
      </c>
      <c r="N2" s="2">
        <f>0+M2-L2</f>
        <v>15000000</v>
      </c>
    </row>
    <row r="3">
      <c r="A3" t="inlineStr">
        <is>
          <t xml:space="preserve">2026-02-02</t>
        </is>
      </c>
      <c r="B3" t="inlineStr">
        <is>
          <t xml:space="preserve">Pinjaman Masuk</t>
        </is>
      </c>
      <c r="C3" t="inlineStr">
        <is>
          <t xml:space="preserve">Pencairan KUR modal kerja</t>
        </is>
      </c>
      <c r="D3" t="inlineStr">
        <is>
          <t xml:space="preserve">Pinjaman Usaha</t>
        </is>
      </c>
      <c r="K3" s="2" t="n">
        <v>20000000</v>
      </c>
      <c r="M3" s="2" t="n">
        <v>20000000</v>
      </c>
      <c r="N3" s="2">
        <f>N2+M3-L3</f>
        <v>35000000</v>
      </c>
    </row>
    <row r="4">
      <c r="A4" t="inlineStr">
        <is>
          <t xml:space="preserve">2026-02-03</t>
        </is>
      </c>
      <c r="B4" t="inlineStr">
        <is>
          <t xml:space="preserve">Beli Alat Tunai</t>
        </is>
      </c>
      <c r="C4" t="inlineStr">
        <is>
          <t xml:space="preserve">Mesin giling cabai</t>
        </is>
      </c>
      <c r="D4" t="inlineStr">
        <is>
          <t xml:space="preserve">Peralatan Dapur dan Kafe</t>
        </is>
      </c>
      <c r="H4" t="n">
        <v>1</v>
      </c>
      <c r="I4" t="inlineStr">
        <is>
          <t xml:space="preserve">unit</t>
        </is>
      </c>
      <c r="J4" s="2" t="n">
        <v>4500000</v>
      </c>
      <c r="K4" s="2" t="n">
        <v>4500000</v>
      </c>
      <c r="L4" s="2" t="n">
        <v>4500000</v>
      </c>
      <c r="N4" s="2">
        <f>N3+M4-L4</f>
        <v>30500000</v>
      </c>
    </row>
    <row r="5">
      <c r="A5" t="inlineStr">
        <is>
          <t xml:space="preserve">2026-02-03</t>
        </is>
      </c>
      <c r="B5" t="inlineStr">
        <is>
          <t xml:space="preserve">Beli Alat Tunai</t>
        </is>
      </c>
      <c r="C5" t="inlineStr">
        <is>
          <t xml:space="preserve">Kompor industri dua tungku</t>
        </is>
      </c>
      <c r="D5" t="inlineStr">
        <is>
          <t xml:space="preserve">Peralatan Dapur dan Kafe</t>
        </is>
      </c>
      <c r="H5" t="n">
        <v>2</v>
      </c>
      <c r="I5" t="inlineStr">
        <is>
          <t xml:space="preserve">unit</t>
        </is>
      </c>
      <c r="J5" s="2" t="n">
        <v>1750000</v>
      </c>
      <c r="K5" s="2" t="n">
        <v>3500000</v>
      </c>
      <c r="L5" s="2" t="n">
        <v>3500000</v>
      </c>
      <c r="N5" s="2">
        <f>N4+M5-L5</f>
        <v>27000000</v>
      </c>
    </row>
    <row r="6">
      <c r="A6" t="inlineStr">
        <is>
          <t xml:space="preserve">2026-02-04</t>
        </is>
      </c>
      <c r="B6" t="inlineStr">
        <is>
          <t xml:space="preserve">Beli Alat Tunai</t>
        </is>
      </c>
      <c r="C6" t="inlineStr">
        <is>
          <t xml:space="preserve">Mesin sealer botol</t>
        </is>
      </c>
      <c r="D6" t="inlineStr">
        <is>
          <t xml:space="preserve">Peralatan Dapur dan Kafe</t>
        </is>
      </c>
      <c r="H6" t="n">
        <v>1</v>
      </c>
      <c r="I6" t="inlineStr">
        <is>
          <t xml:space="preserve">unit</t>
        </is>
      </c>
      <c r="J6" s="2" t="n">
        <v>2300000</v>
      </c>
      <c r="K6" s="2" t="n">
        <v>2300000</v>
      </c>
      <c r="L6" s="2" t="n">
        <v>2300000</v>
      </c>
      <c r="N6" s="2">
        <f>N5+M6-L6</f>
        <v>24700000</v>
      </c>
    </row>
    <row r="7">
      <c r="A7" t="inlineStr">
        <is>
          <t xml:space="preserve">2026-02-04</t>
        </is>
      </c>
      <c r="B7" t="inlineStr">
        <is>
          <t xml:space="preserve">Beli Alat Tunai</t>
        </is>
      </c>
      <c r="C7" t="inlineStr">
        <is>
          <t xml:space="preserve">Wajan dan panci stainless</t>
        </is>
      </c>
      <c r="D7" t="inlineStr">
        <is>
          <t xml:space="preserve">Peralatan Dapur dan Kafe</t>
        </is>
      </c>
      <c r="H7" t="n">
        <v>1</v>
      </c>
      <c r="I7" t="inlineStr">
        <is>
          <t xml:space="preserve">set</t>
        </is>
      </c>
      <c r="J7" s="2" t="n">
        <v>1200000</v>
      </c>
      <c r="K7" s="2" t="n">
        <v>1200000</v>
      </c>
      <c r="L7" s="2" t="n">
        <v>1200000</v>
      </c>
      <c r="N7" s="2">
        <f>N6+M7-L7</f>
        <v>23500000</v>
      </c>
    </row>
    <row r="8">
      <c r="A8" t="inlineStr">
        <is>
          <t xml:space="preserve">2026-02-05</t>
        </is>
      </c>
      <c r="B8" t="inlineStr">
        <is>
          <t xml:space="preserve">Beli Alat Tunai</t>
        </is>
      </c>
      <c r="C8" t="inlineStr">
        <is>
          <t xml:space="preserve">Etalase dan rak simpan</t>
        </is>
      </c>
      <c r="D8" t="inlineStr">
        <is>
          <t xml:space="preserve">Peralatan Dapur dan Kafe</t>
        </is>
      </c>
      <c r="H8" t="n">
        <v>1</v>
      </c>
      <c r="I8" t="inlineStr">
        <is>
          <t xml:space="preserve">unit</t>
        </is>
      </c>
      <c r="J8" s="2" t="n">
        <v>1500000</v>
      </c>
      <c r="K8" s="2" t="n">
        <v>1500000</v>
      </c>
      <c r="L8" s="2" t="n">
        <v>1500000</v>
      </c>
      <c r="N8" s="2">
        <f>N7+M8-L8</f>
        <v>22000000</v>
      </c>
    </row>
    <row r="9">
      <c r="A9" t="inlineStr">
        <is>
          <t xml:space="preserve">2026-02-05</t>
        </is>
      </c>
      <c r="B9" t="inlineStr">
        <is>
          <t xml:space="preserve">Uang Keluar</t>
        </is>
      </c>
      <c r="C9" t="inlineStr">
        <is>
          <t xml:space="preserve">Sewa dapur produksi Februari</t>
        </is>
      </c>
      <c r="D9" t="inlineStr">
        <is>
          <t xml:space="preserve">Sewa Tempat</t>
        </is>
      </c>
      <c r="H9" t="n">
        <v>1</v>
      </c>
      <c r="I9" t="inlineStr">
        <is>
          <t xml:space="preserve">bulan</t>
        </is>
      </c>
      <c r="J9" s="2" t="n">
        <v>2500000</v>
      </c>
      <c r="K9" s="2" t="n">
        <v>2500000</v>
      </c>
      <c r="L9" s="2" t="n">
        <v>2500000</v>
      </c>
      <c r="N9" s="2">
        <f>N8+M9-L9</f>
        <v>19500000</v>
      </c>
    </row>
    <row r="10">
      <c r="A10" t="inlineStr">
        <is>
          <t xml:space="preserve">2026-02-05</t>
        </is>
      </c>
      <c r="B10" t="inlineStr">
        <is>
          <t xml:space="preserve">Uang Keluar</t>
        </is>
      </c>
      <c r="C10" t="inlineStr">
        <is>
          <t xml:space="preserve">Perizinan PIRT dan sertifikasi halal</t>
        </is>
      </c>
      <c r="D10" t="inlineStr">
        <is>
          <t xml:space="preserve">Perizinan dan Administrasi</t>
        </is>
      </c>
      <c r="H10" t="n">
        <v>1</v>
      </c>
      <c r="I10" t="inlineStr">
        <is>
          <t xml:space="preserve">paket</t>
        </is>
      </c>
      <c r="J10" s="2" t="n">
        <v>1750000</v>
      </c>
      <c r="K10" s="2" t="n">
        <v>1750000</v>
      </c>
      <c r="L10" s="2" t="n">
        <v>1750000</v>
      </c>
      <c r="N10" s="2">
        <f>N9+M10-L10</f>
        <v>17750000</v>
      </c>
    </row>
    <row r="11">
      <c r="A11" t="inlineStr">
        <is>
          <t xml:space="preserve">2026-02-06</t>
        </is>
      </c>
      <c r="B11" t="inlineStr">
        <is>
          <t xml:space="preserve">Uang Keluar</t>
        </is>
      </c>
      <c r="C11" t="inlineStr">
        <is>
          <t xml:space="preserve">Belanja cabai rawit merah</t>
        </is>
      </c>
      <c r="D11" t="inlineStr">
        <is>
          <t xml:space="preserve">Bahan Baku Makanan</t>
        </is>
      </c>
      <c r="H11" t="n">
        <v>400</v>
      </c>
      <c r="I11" t="inlineStr">
        <is>
          <t xml:space="preserve">kg</t>
        </is>
      </c>
      <c r="J11" s="2" t="n">
        <v>45000</v>
      </c>
      <c r="K11" s="2" t="n">
        <v>18000000</v>
      </c>
      <c r="L11" s="2" t="n">
        <v>18000000</v>
      </c>
      <c r="N11" s="2">
        <f>N10+M11-L11</f>
        <v>-250000</v>
      </c>
    </row>
    <row r="12">
      <c r="A12" t="inlineStr">
        <is>
          <t xml:space="preserve">2026-02-06</t>
        </is>
      </c>
      <c r="B12" t="inlineStr">
        <is>
          <t xml:space="preserve">Uang Keluar</t>
        </is>
      </c>
      <c r="C12" t="inlineStr">
        <is>
          <t xml:space="preserve">Belanja bawang merah dan bawang putih</t>
        </is>
      </c>
      <c r="D12" t="inlineStr">
        <is>
          <t xml:space="preserve">Bahan Baku Makanan</t>
        </is>
      </c>
      <c r="H12" t="n">
        <v>100</v>
      </c>
      <c r="I12" t="inlineStr">
        <is>
          <t xml:space="preserve">kg</t>
        </is>
      </c>
      <c r="J12" s="2" t="n">
        <v>30000</v>
      </c>
      <c r="K12" s="2" t="n">
        <v>3000000</v>
      </c>
      <c r="L12" s="2" t="n">
        <v>3000000</v>
      </c>
      <c r="N12" s="2">
        <f>N11+M12-L12</f>
        <v>-3250000</v>
      </c>
    </row>
    <row r="13">
      <c r="A13" t="inlineStr">
        <is>
          <t xml:space="preserve">2026-02-07</t>
        </is>
      </c>
      <c r="B13" t="inlineStr">
        <is>
          <t xml:space="preserve">Uang Keluar</t>
        </is>
      </c>
      <c r="C13" t="inlineStr">
        <is>
          <t xml:space="preserve">Minyak goreng curah</t>
        </is>
      </c>
      <c r="D13" t="inlineStr">
        <is>
          <t xml:space="preserve">Bahan Baku Makanan</t>
        </is>
      </c>
      <c r="H13" t="n">
        <v>200</v>
      </c>
      <c r="I13" t="inlineStr">
        <is>
          <t xml:space="preserve">liter</t>
        </is>
      </c>
      <c r="J13" s="2" t="n">
        <v>18000</v>
      </c>
      <c r="K13" s="2" t="n">
        <v>3600000</v>
      </c>
      <c r="L13" s="2" t="n">
        <v>3600000</v>
      </c>
      <c r="N13" s="2">
        <f>N12+M13-L13</f>
        <v>-6850000</v>
      </c>
    </row>
    <row r="14">
      <c r="A14" t="inlineStr">
        <is>
          <t xml:space="preserve">2026-02-07</t>
        </is>
      </c>
      <c r="B14" t="inlineStr">
        <is>
          <t xml:space="preserve">Belanja Tempo</t>
        </is>
      </c>
      <c r="C14" t="inlineStr">
        <is>
          <t xml:space="preserve">Gula, garam, dan penyedap (tempo 30 hari)</t>
        </is>
      </c>
      <c r="D14" t="inlineStr">
        <is>
          <t xml:space="preserve">Bahan Minuman dan Bumbu</t>
        </is>
      </c>
      <c r="E14" t="inlineStr">
        <is>
          <t xml:space="preserve">Toko Sembako Jaya</t>
        </is>
      </c>
      <c r="F14" t="inlineStr">
        <is>
          <t xml:space="preserve">2026-03-08</t>
        </is>
      </c>
      <c r="G14" t="inlineStr">
        <is>
          <t xml:space="preserve">UT-01</t>
        </is>
      </c>
      <c r="H14" t="n">
        <v>1</v>
      </c>
      <c r="I14" t="inlineStr">
        <is>
          <t xml:space="preserve">paket</t>
        </is>
      </c>
      <c r="J14" s="2" t="n">
        <v>2200000</v>
      </c>
      <c r="K14" s="2" t="n">
        <v>2200000</v>
      </c>
      <c r="N14" s="2">
        <f>N13+M14-L14</f>
        <v>-6850000</v>
      </c>
    </row>
    <row r="15">
      <c r="A15" t="inlineStr">
        <is>
          <t xml:space="preserve">2026-02-08</t>
        </is>
      </c>
      <c r="B15" t="inlineStr">
        <is>
          <t xml:space="preserve">Uang Keluar</t>
        </is>
      </c>
      <c r="C15" t="inlineStr">
        <is>
          <t xml:space="preserve">Botol kaca dan tutup</t>
        </is>
      </c>
      <c r="D15" t="inlineStr">
        <is>
          <t xml:space="preserve">Kemasan dan Label</t>
        </is>
      </c>
      <c r="H15" t="n">
        <v>2000</v>
      </c>
      <c r="I15" t="inlineStr">
        <is>
          <t xml:space="preserve">pcs</t>
        </is>
      </c>
      <c r="J15" s="2" t="n">
        <v>2500</v>
      </c>
      <c r="K15" s="2" t="n">
        <v>5000000</v>
      </c>
      <c r="L15" s="2" t="n">
        <v>5000000</v>
      </c>
      <c r="N15" s="2">
        <f>N14+M15-L15</f>
        <v>-11850000</v>
      </c>
    </row>
    <row r="16">
      <c r="A16" t="inlineStr">
        <is>
          <t xml:space="preserve">2026-02-08</t>
        </is>
      </c>
      <c r="B16" t="inlineStr">
        <is>
          <t xml:space="preserve">Uang Keluar</t>
        </is>
      </c>
      <c r="C16" t="inlineStr">
        <is>
          <t xml:space="preserve">Label dan segel</t>
        </is>
      </c>
      <c r="D16" t="inlineStr">
        <is>
          <t xml:space="preserve">Kemasan dan Label</t>
        </is>
      </c>
      <c r="H16" t="n">
        <v>2000</v>
      </c>
      <c r="I16" t="inlineStr">
        <is>
          <t xml:space="preserve">pcs</t>
        </is>
      </c>
      <c r="J16" s="2" t="n">
        <v>500</v>
      </c>
      <c r="K16" s="2" t="n">
        <v>1000000</v>
      </c>
      <c r="L16" s="2" t="n">
        <v>1000000</v>
      </c>
      <c r="N16" s="2">
        <f>N15+M16-L16</f>
        <v>-12850000</v>
      </c>
    </row>
    <row r="17">
      <c r="A17" t="inlineStr">
        <is>
          <t xml:space="preserve">2026-02-15</t>
        </is>
      </c>
      <c r="B17" t="inlineStr">
        <is>
          <t xml:space="preserve">Uang Masuk</t>
        </is>
      </c>
      <c r="C17" t="inlineStr">
        <is>
          <t xml:space="preserve">Penjualan kasir 01-15 Februari</t>
        </is>
      </c>
      <c r="D17" t="inlineStr">
        <is>
          <t xml:space="preserve">Penjualan Makanan dan Minuman</t>
        </is>
      </c>
      <c r="H17" t="n">
        <v>520</v>
      </c>
      <c r="I17" t="inlineStr">
        <is>
          <t xml:space="preserve">botol</t>
        </is>
      </c>
      <c r="J17" s="2" t="n">
        <v>28000</v>
      </c>
      <c r="K17" s="2" t="n">
        <v>14560000</v>
      </c>
      <c r="M17" s="2" t="n">
        <v>14560000</v>
      </c>
      <c r="N17" s="2">
        <f>N16+M17-L17</f>
        <v>1710000</v>
      </c>
    </row>
    <row r="18">
      <c r="A18" t="inlineStr">
        <is>
          <t xml:space="preserve">2026-02-20</t>
        </is>
      </c>
      <c r="B18" t="inlineStr">
        <is>
          <t xml:space="preserve">Uang Keluar</t>
        </is>
      </c>
      <c r="C18" t="inlineStr">
        <is>
          <t xml:space="preserve">Gaji dua karyawan produksi Februari</t>
        </is>
      </c>
      <c r="D18" t="inlineStr">
        <is>
          <t xml:space="preserve">Gaji Koki dan Pegawai</t>
        </is>
      </c>
      <c r="H18" t="n">
        <v>2</v>
      </c>
      <c r="I18" t="inlineStr">
        <is>
          <t xml:space="preserve">orang-bulan</t>
        </is>
      </c>
      <c r="J18" s="2" t="n">
        <v>2000000</v>
      </c>
      <c r="K18" s="2" t="n">
        <v>4000000</v>
      </c>
      <c r="L18" s="2" t="n">
        <v>4000000</v>
      </c>
      <c r="N18" s="2">
        <f>N17+M18-L18</f>
        <v>-2290000</v>
      </c>
    </row>
    <row r="19">
      <c r="A19" t="inlineStr">
        <is>
          <t xml:space="preserve">2026-02-25</t>
        </is>
      </c>
      <c r="B19" t="inlineStr">
        <is>
          <t xml:space="preserve">Uang Keluar</t>
        </is>
      </c>
      <c r="C19" t="inlineStr">
        <is>
          <t xml:space="preserve">Gas, listrik, dan air Februari</t>
        </is>
      </c>
      <c r="D19" t="inlineStr">
        <is>
          <t xml:space="preserve">Gas, Listrik dan Air</t>
        </is>
      </c>
      <c r="K19" s="2" t="n">
        <v>1150000</v>
      </c>
      <c r="L19" s="2" t="n">
        <v>1150000</v>
      </c>
      <c r="N19" s="2">
        <f>N18+M19-L19</f>
        <v>-3440000</v>
      </c>
    </row>
    <row r="20">
      <c r="A20" t="inlineStr">
        <is>
          <t xml:space="preserve">2026-02-26</t>
        </is>
      </c>
      <c r="B20" t="inlineStr">
        <is>
          <t xml:space="preserve">Uang Keluar</t>
        </is>
      </c>
      <c r="C20" t="inlineStr">
        <is>
          <t xml:space="preserve">Konten promosi dan iklan media sosial</t>
        </is>
      </c>
      <c r="D20" t="inlineStr">
        <is>
          <t xml:space="preserve">Pemasaran dan Promosi</t>
        </is>
      </c>
      <c r="K20" s="2" t="n">
        <v>800000</v>
      </c>
      <c r="L20" s="2" t="n">
        <v>800000</v>
      </c>
      <c r="N20" s="2">
        <f>N19+M20-L20</f>
        <v>-4240000</v>
      </c>
    </row>
    <row r="21">
      <c r="A21" t="inlineStr">
        <is>
          <t xml:space="preserve">2026-02-28</t>
        </is>
      </c>
      <c r="B21" t="inlineStr">
        <is>
          <t xml:space="preserve">Uang Masuk</t>
        </is>
      </c>
      <c r="C21" t="inlineStr">
        <is>
          <t xml:space="preserve">Penjualan kasir 16-28 Februari</t>
        </is>
      </c>
      <c r="D21" t="inlineStr">
        <is>
          <t xml:space="preserve">Penjualan Makanan dan Minuman</t>
        </is>
      </c>
      <c r="H21" t="n">
        <v>640</v>
      </c>
      <c r="I21" t="inlineStr">
        <is>
          <t xml:space="preserve">botol</t>
        </is>
      </c>
      <c r="J21" s="2" t="n">
        <v>28000</v>
      </c>
      <c r="K21" s="2" t="n">
        <v>17920000</v>
      </c>
      <c r="M21" s="2" t="n">
        <v>17920000</v>
      </c>
      <c r="N21" s="2">
        <f>N20+M21-L21</f>
        <v>13680000</v>
      </c>
    </row>
    <row r="22">
      <c r="A22" t="inlineStr">
        <is>
          <t xml:space="preserve">2026-02-28</t>
        </is>
      </c>
      <c r="B22" t="inlineStr">
        <is>
          <t xml:space="preserve">Penjualan Tempo</t>
        </is>
      </c>
      <c r="C22" t="inlineStr">
        <is>
          <t xml:space="preserve">Penjualan grosir Toko Berkah (tempo 30 hari)</t>
        </is>
      </c>
      <c r="D22" t="inlineStr">
        <is>
          <t xml:space="preserve">Penjualan Makanan dan Minuman</t>
        </is>
      </c>
      <c r="E22" t="inlineStr">
        <is>
          <t xml:space="preserve">Toko Berkah Sentosa</t>
        </is>
      </c>
      <c r="F22" t="inlineStr">
        <is>
          <t xml:space="preserve">2026-03-30</t>
        </is>
      </c>
      <c r="G22" t="inlineStr">
        <is>
          <t xml:space="preserve">PT-01</t>
        </is>
      </c>
      <c r="H22" t="n">
        <v>250</v>
      </c>
      <c r="I22" t="inlineStr">
        <is>
          <t xml:space="preserve">botol</t>
        </is>
      </c>
      <c r="J22" s="2" t="n">
        <v>28000</v>
      </c>
      <c r="K22" s="2" t="n">
        <v>7000000</v>
      </c>
      <c r="N22" s="2">
        <f>N21+M22-L22</f>
        <v>13680000</v>
      </c>
    </row>
    <row r="23">
      <c r="A23" t="inlineStr">
        <is>
          <t xml:space="preserve">2026-03-05</t>
        </is>
      </c>
      <c r="B23" t="inlineStr">
        <is>
          <t xml:space="preserve">Uang Keluar</t>
        </is>
      </c>
      <c r="C23" t="inlineStr">
        <is>
          <t xml:space="preserve">Sewa dapur produksi Maret</t>
        </is>
      </c>
      <c r="D23" t="inlineStr">
        <is>
          <t xml:space="preserve">Sewa Tempat</t>
        </is>
      </c>
      <c r="H23" t="n">
        <v>1</v>
      </c>
      <c r="I23" t="inlineStr">
        <is>
          <t xml:space="preserve">bulan</t>
        </is>
      </c>
      <c r="J23" s="2" t="n">
        <v>2500000</v>
      </c>
      <c r="K23" s="2" t="n">
        <v>2500000</v>
      </c>
      <c r="L23" s="2" t="n">
        <v>2500000</v>
      </c>
      <c r="N23" s="2">
        <f>N22+M23-L23</f>
        <v>11180000</v>
      </c>
    </row>
    <row r="24">
      <c r="A24" t="inlineStr">
        <is>
          <t xml:space="preserve">2026-03-08</t>
        </is>
      </c>
      <c r="B24" t="inlineStr">
        <is>
          <t xml:space="preserve">Bayar Utang</t>
        </is>
      </c>
      <c r="C24" t="inlineStr">
        <is>
          <t xml:space="preserve">Pelunasan utang Toko Sembako Jaya</t>
        </is>
      </c>
      <c r="D24" t="inlineStr">
        <is>
          <t xml:space="preserve">Bahan Minuman dan Bumbu</t>
        </is>
      </c>
      <c r="E24" t="inlineStr">
        <is>
          <t xml:space="preserve">Toko Sembako Jaya</t>
        </is>
      </c>
      <c r="G24" t="inlineStr">
        <is>
          <t xml:space="preserve">UT-01</t>
        </is>
      </c>
      <c r="K24" s="2" t="n">
        <v>2200000</v>
      </c>
      <c r="L24" s="2" t="n">
        <v>2200000</v>
      </c>
      <c r="N24" s="2">
        <f>N23+M24-L24</f>
        <v>8980000</v>
      </c>
    </row>
    <row r="25">
      <c r="A25" t="inlineStr">
        <is>
          <t xml:space="preserve">2026-03-10</t>
        </is>
      </c>
      <c r="B25" t="inlineStr">
        <is>
          <t xml:space="preserve">Uang Keluar</t>
        </is>
      </c>
      <c r="C25" t="inlineStr">
        <is>
          <t xml:space="preserve">Belanja cabai rawit merah</t>
        </is>
      </c>
      <c r="D25" t="inlineStr">
        <is>
          <t xml:space="preserve">Bahan Baku Makanan</t>
        </is>
      </c>
      <c r="H25" t="n">
        <v>420</v>
      </c>
      <c r="I25" t="inlineStr">
        <is>
          <t xml:space="preserve">kg</t>
        </is>
      </c>
      <c r="J25" s="2" t="n">
        <v>45000</v>
      </c>
      <c r="K25" s="2" t="n">
        <v>18900000</v>
      </c>
      <c r="L25" s="2" t="n">
        <v>18900000</v>
      </c>
      <c r="N25" s="2">
        <f>N24+M25-L25</f>
        <v>-9920000</v>
      </c>
    </row>
    <row r="26">
      <c r="A26" t="inlineStr">
        <is>
          <t xml:space="preserve">2026-03-10</t>
        </is>
      </c>
      <c r="B26" t="inlineStr">
        <is>
          <t xml:space="preserve">Uang Keluar</t>
        </is>
      </c>
      <c r="C26" t="inlineStr">
        <is>
          <t xml:space="preserve">Bawang, gula, dan bumbu dapur</t>
        </is>
      </c>
      <c r="D26" t="inlineStr">
        <is>
          <t xml:space="preserve">Bahan Minuman dan Bumbu</t>
        </is>
      </c>
      <c r="K26" s="2" t="n">
        <v>4200000</v>
      </c>
      <c r="L26" s="2" t="n">
        <v>4200000</v>
      </c>
      <c r="N26" s="2">
        <f>N25+M26-L26</f>
        <v>-14120000</v>
      </c>
    </row>
    <row r="27">
      <c r="A27" t="inlineStr">
        <is>
          <t xml:space="preserve">2026-03-11</t>
        </is>
      </c>
      <c r="B27" t="inlineStr">
        <is>
          <t xml:space="preserve">Uang Keluar</t>
        </is>
      </c>
      <c r="C27" t="inlineStr">
        <is>
          <t xml:space="preserve">Minyak goreng curah</t>
        </is>
      </c>
      <c r="D27" t="inlineStr">
        <is>
          <t xml:space="preserve">Bahan Baku Makanan</t>
        </is>
      </c>
      <c r="H27" t="n">
        <v>210</v>
      </c>
      <c r="I27" t="inlineStr">
        <is>
          <t xml:space="preserve">liter</t>
        </is>
      </c>
      <c r="J27" s="2" t="n">
        <v>18000</v>
      </c>
      <c r="K27" s="2" t="n">
        <v>3780000</v>
      </c>
      <c r="L27" s="2" t="n">
        <v>3780000</v>
      </c>
      <c r="N27" s="2">
        <f>N26+M27-L27</f>
        <v>-17900000</v>
      </c>
    </row>
    <row r="28">
      <c r="A28" t="inlineStr">
        <is>
          <t xml:space="preserve">2026-03-12</t>
        </is>
      </c>
      <c r="B28" t="inlineStr">
        <is>
          <t xml:space="preserve">Belanja Tempo</t>
        </is>
      </c>
      <c r="C28" t="inlineStr">
        <is>
          <t xml:space="preserve">Botol kaca dan tutup (tempo 30 hari)</t>
        </is>
      </c>
      <c r="D28" t="inlineStr">
        <is>
          <t xml:space="preserve">Kemasan dan Label</t>
        </is>
      </c>
      <c r="E28" t="inlineStr">
        <is>
          <t xml:space="preserve">CV Kemasan Mitra</t>
        </is>
      </c>
      <c r="F28" t="inlineStr">
        <is>
          <t xml:space="preserve">2026-04-11</t>
        </is>
      </c>
      <c r="G28" t="inlineStr">
        <is>
          <t xml:space="preserve">UT-02</t>
        </is>
      </c>
      <c r="H28" t="n">
        <v>2200</v>
      </c>
      <c r="I28" t="inlineStr">
        <is>
          <t xml:space="preserve">pcs</t>
        </is>
      </c>
      <c r="J28" s="2" t="n">
        <v>2500</v>
      </c>
      <c r="K28" s="2" t="n">
        <v>5500000</v>
      </c>
      <c r="N28" s="2">
        <f>N27+M28-L28</f>
        <v>-17900000</v>
      </c>
    </row>
    <row r="29">
      <c r="A29" t="inlineStr">
        <is>
          <t xml:space="preserve">2026-03-12</t>
        </is>
      </c>
      <c r="B29" t="inlineStr">
        <is>
          <t xml:space="preserve">Uang Keluar</t>
        </is>
      </c>
      <c r="C29" t="inlineStr">
        <is>
          <t xml:space="preserve">Label dan segel</t>
        </is>
      </c>
      <c r="D29" t="inlineStr">
        <is>
          <t xml:space="preserve">Kemasan dan Label</t>
        </is>
      </c>
      <c r="H29" t="n">
        <v>2200</v>
      </c>
      <c r="I29" t="inlineStr">
        <is>
          <t xml:space="preserve">pcs</t>
        </is>
      </c>
      <c r="J29" s="2" t="n">
        <v>500</v>
      </c>
      <c r="K29" s="2" t="n">
        <v>1100000</v>
      </c>
      <c r="L29" s="2" t="n">
        <v>1100000</v>
      </c>
      <c r="N29" s="2">
        <f>N28+M29-L29</f>
        <v>-19000000</v>
      </c>
    </row>
    <row r="30">
      <c r="A30" t="inlineStr">
        <is>
          <t xml:space="preserve">2026-03-15</t>
        </is>
      </c>
      <c r="B30" t="inlineStr">
        <is>
          <t xml:space="preserve">Uang Masuk</t>
        </is>
      </c>
      <c r="C30" t="inlineStr">
        <is>
          <t xml:space="preserve">Penjualan kasir 01-15 Maret</t>
        </is>
      </c>
      <c r="D30" t="inlineStr">
        <is>
          <t xml:space="preserve">Penjualan Makanan dan Minuman</t>
        </is>
      </c>
      <c r="H30" t="n">
        <v>760</v>
      </c>
      <c r="I30" t="inlineStr">
        <is>
          <t xml:space="preserve">botol</t>
        </is>
      </c>
      <c r="J30" s="2" t="n">
        <v>28000</v>
      </c>
      <c r="K30" s="2" t="n">
        <v>21280000</v>
      </c>
      <c r="M30" s="2" t="n">
        <v>21280000</v>
      </c>
      <c r="N30" s="2">
        <f>N29+M30-L30</f>
        <v>2280000</v>
      </c>
    </row>
    <row r="31">
      <c r="A31" t="inlineStr">
        <is>
          <t xml:space="preserve">2026-03-20</t>
        </is>
      </c>
      <c r="B31" t="inlineStr">
        <is>
          <t xml:space="preserve">Uang Keluar</t>
        </is>
      </c>
      <c r="C31" t="inlineStr">
        <is>
          <t xml:space="preserve">Gaji dua karyawan produksi Maret</t>
        </is>
      </c>
      <c r="D31" t="inlineStr">
        <is>
          <t xml:space="preserve">Gaji Koki dan Pegawai</t>
        </is>
      </c>
      <c r="H31" t="n">
        <v>2</v>
      </c>
      <c r="I31" t="inlineStr">
        <is>
          <t xml:space="preserve">orang-bulan</t>
        </is>
      </c>
      <c r="J31" s="2" t="n">
        <v>2000000</v>
      </c>
      <c r="K31" s="2" t="n">
        <v>4000000</v>
      </c>
      <c r="L31" s="2" t="n">
        <v>4000000</v>
      </c>
      <c r="N31" s="2">
        <f>N30+M31-L31</f>
        <v>-1720000</v>
      </c>
    </row>
    <row r="32">
      <c r="A32" t="inlineStr">
        <is>
          <t xml:space="preserve">2026-03-25</t>
        </is>
      </c>
      <c r="B32" t="inlineStr">
        <is>
          <t xml:space="preserve">Uang Keluar</t>
        </is>
      </c>
      <c r="C32" t="inlineStr">
        <is>
          <t xml:space="preserve">Gas, listrik, dan air Maret</t>
        </is>
      </c>
      <c r="D32" t="inlineStr">
        <is>
          <t xml:space="preserve">Gas, Listrik dan Air</t>
        </is>
      </c>
      <c r="K32" s="2" t="n">
        <v>1250000</v>
      </c>
      <c r="L32" s="2" t="n">
        <v>1250000</v>
      </c>
      <c r="N32" s="2">
        <f>N31+M32-L32</f>
        <v>-2970000</v>
      </c>
    </row>
    <row r="33">
      <c r="A33" t="inlineStr">
        <is>
          <t xml:space="preserve">2026-03-26</t>
        </is>
      </c>
      <c r="B33" t="inlineStr">
        <is>
          <t xml:space="preserve">Uang Keluar</t>
        </is>
      </c>
      <c r="C33" t="inlineStr">
        <is>
          <t xml:space="preserve">Ongkos kirim pesanan luar kota</t>
        </is>
      </c>
      <c r="D33" t="inlineStr">
        <is>
          <t xml:space="preserve">Transport dan Pengiriman</t>
        </is>
      </c>
      <c r="K33" s="2" t="n">
        <v>950000</v>
      </c>
      <c r="L33" s="2" t="n">
        <v>950000</v>
      </c>
      <c r="N33" s="2">
        <f>N32+M33-L33</f>
        <v>-3920000</v>
      </c>
    </row>
    <row r="34">
      <c r="A34" t="inlineStr">
        <is>
          <t xml:space="preserve">2026-03-26</t>
        </is>
      </c>
      <c r="B34" t="inlineStr">
        <is>
          <t xml:space="preserve">Uang Keluar</t>
        </is>
      </c>
      <c r="C34" t="inlineStr">
        <is>
          <t xml:space="preserve">Iklan media sosial dan endorse</t>
        </is>
      </c>
      <c r="D34" t="inlineStr">
        <is>
          <t xml:space="preserve">Pemasaran dan Promosi</t>
        </is>
      </c>
      <c r="K34" s="2" t="n">
        <v>1200000</v>
      </c>
      <c r="L34" s="2" t="n">
        <v>1200000</v>
      </c>
      <c r="N34" s="2">
        <f>N33+M34-L34</f>
        <v>-5120000</v>
      </c>
    </row>
    <row r="35">
      <c r="A35" t="inlineStr">
        <is>
          <t xml:space="preserve">2026-03-28</t>
        </is>
      </c>
      <c r="B35" t="inlineStr">
        <is>
          <t xml:space="preserve">Bayar Bunga</t>
        </is>
      </c>
      <c r="C35" t="inlineStr">
        <is>
          <t xml:space="preserve">Bunga KUR bulan Maret</t>
        </is>
      </c>
      <c r="D35" t="inlineStr">
        <is>
          <t xml:space="preserve">Biaya Bunga Pinjaman</t>
        </is>
      </c>
      <c r="K35" s="2" t="n">
        <v>200000</v>
      </c>
      <c r="L35" s="2" t="n">
        <v>200000</v>
      </c>
      <c r="N35" s="2">
        <f>N34+M35-L35</f>
        <v>-5320000</v>
      </c>
    </row>
    <row r="36">
      <c r="A36" t="inlineStr">
        <is>
          <t xml:space="preserve">2026-03-28</t>
        </is>
      </c>
      <c r="B36" t="inlineStr">
        <is>
          <t xml:space="preserve">Bayar Pokok Pinjaman</t>
        </is>
      </c>
      <c r="C36" t="inlineStr">
        <is>
          <t xml:space="preserve">Angsuran pokok KUR Maret</t>
        </is>
      </c>
      <c r="D36" t="inlineStr">
        <is>
          <t xml:space="preserve">Pinjaman Usaha</t>
        </is>
      </c>
      <c r="K36" s="2" t="n">
        <v>1000000</v>
      </c>
      <c r="L36" s="2" t="n">
        <v>1000000</v>
      </c>
      <c r="N36" s="2">
        <f>N35+M36-L36</f>
        <v>-6320000</v>
      </c>
    </row>
    <row r="37">
      <c r="A37" t="inlineStr">
        <is>
          <t xml:space="preserve">2026-03-30</t>
        </is>
      </c>
      <c r="B37" t="inlineStr">
        <is>
          <t xml:space="preserve">Terima Piutang</t>
        </is>
      </c>
      <c r="C37" t="inlineStr">
        <is>
          <t xml:space="preserve">Pelunasan piutang Toko Berkah Sentosa</t>
        </is>
      </c>
      <c r="D37" t="inlineStr">
        <is>
          <t xml:space="preserve">Penjualan Makanan dan Minuman</t>
        </is>
      </c>
      <c r="E37" t="inlineStr">
        <is>
          <t xml:space="preserve">Toko Berkah Sentosa</t>
        </is>
      </c>
      <c r="G37" t="inlineStr">
        <is>
          <t xml:space="preserve">PT-01</t>
        </is>
      </c>
      <c r="K37" s="2" t="n">
        <v>7000000</v>
      </c>
      <c r="M37" s="2" t="n">
        <v>7000000</v>
      </c>
      <c r="N37" s="2">
        <f>N36+M37-L37</f>
        <v>680000</v>
      </c>
    </row>
    <row r="38">
      <c r="A38" t="inlineStr">
        <is>
          <t xml:space="preserve">2026-03-31</t>
        </is>
      </c>
      <c r="B38" t="inlineStr">
        <is>
          <t xml:space="preserve">Uang Masuk</t>
        </is>
      </c>
      <c r="C38" t="inlineStr">
        <is>
          <t xml:space="preserve">Penjualan kasir 16-31 Maret</t>
        </is>
      </c>
      <c r="D38" t="inlineStr">
        <is>
          <t xml:space="preserve">Penjualan Makanan dan Minuman</t>
        </is>
      </c>
      <c r="H38" t="n">
        <v>880</v>
      </c>
      <c r="I38" t="inlineStr">
        <is>
          <t xml:space="preserve">botol</t>
        </is>
      </c>
      <c r="J38" s="2" t="n">
        <v>28000</v>
      </c>
      <c r="K38" s="2" t="n">
        <v>24640000</v>
      </c>
      <c r="M38" s="2" t="n">
        <v>24640000</v>
      </c>
      <c r="N38" s="2">
        <f>N37+M38-L38</f>
        <v>25320000</v>
      </c>
    </row>
    <row r="39">
      <c r="A39" t="inlineStr">
        <is>
          <t xml:space="preserve">2026-03-31</t>
        </is>
      </c>
      <c r="B39" t="inlineStr">
        <is>
          <t xml:space="preserve">Penjualan Tempo</t>
        </is>
      </c>
      <c r="C39" t="inlineStr">
        <is>
          <t xml:space="preserve">Penjualan grosir Warung Bu Ani (tempo 30 hari)</t>
        </is>
      </c>
      <c r="D39" t="inlineStr">
        <is>
          <t xml:space="preserve">Penjualan Makanan dan Minuman</t>
        </is>
      </c>
      <c r="E39" t="inlineStr">
        <is>
          <t xml:space="preserve">Warung Bu Ani</t>
        </is>
      </c>
      <c r="F39" t="inlineStr">
        <is>
          <t xml:space="preserve">2026-04-30</t>
        </is>
      </c>
      <c r="G39" t="inlineStr">
        <is>
          <t xml:space="preserve">PT-02</t>
        </is>
      </c>
      <c r="H39" t="n">
        <v>300</v>
      </c>
      <c r="I39" t="inlineStr">
        <is>
          <t xml:space="preserve">botol</t>
        </is>
      </c>
      <c r="J39" s="2" t="n">
        <v>28000</v>
      </c>
      <c r="K39" s="2" t="n">
        <v>8400000</v>
      </c>
      <c r="N39" s="2">
        <f>N38+M39-L39</f>
        <v>25320000</v>
      </c>
    </row>
    <row r="40">
      <c r="A40" t="inlineStr">
        <is>
          <t xml:space="preserve">2026-04-02</t>
        </is>
      </c>
      <c r="B40" t="inlineStr">
        <is>
          <t xml:space="preserve">Uang Keluar</t>
        </is>
      </c>
      <c r="C40" t="inlineStr">
        <is>
          <t xml:space="preserve">Sewa dapur produksi April</t>
        </is>
      </c>
      <c r="D40" t="inlineStr">
        <is>
          <t xml:space="preserve">Sewa Tempat</t>
        </is>
      </c>
      <c r="H40" t="n">
        <v>1</v>
      </c>
      <c r="I40" t="inlineStr">
        <is>
          <t xml:space="preserve">bulan</t>
        </is>
      </c>
      <c r="J40" s="2" t="n">
        <v>2500000</v>
      </c>
      <c r="K40" s="2" t="n">
        <v>2500000</v>
      </c>
      <c r="L40" s="2" t="n">
        <v>2500000</v>
      </c>
      <c r="N40" s="2">
        <f>N39+M40-L40</f>
        <v>22820000</v>
      </c>
    </row>
    <row r="41">
      <c r="A41" t="inlineStr">
        <is>
          <t xml:space="preserve">2026-04-05</t>
        </is>
      </c>
      <c r="B41" t="inlineStr">
        <is>
          <t xml:space="preserve">Uang Keluar</t>
        </is>
      </c>
      <c r="C41" t="inlineStr">
        <is>
          <t xml:space="preserve">Belanja cabai rawit merah</t>
        </is>
      </c>
      <c r="D41" t="inlineStr">
        <is>
          <t xml:space="preserve">Bahan Baku Makanan</t>
        </is>
      </c>
      <c r="H41" t="n">
        <v>450</v>
      </c>
      <c r="I41" t="inlineStr">
        <is>
          <t xml:space="preserve">kg</t>
        </is>
      </c>
      <c r="J41" s="2" t="n">
        <v>45000</v>
      </c>
      <c r="K41" s="2" t="n">
        <v>20250000</v>
      </c>
      <c r="L41" s="2" t="n">
        <v>20250000</v>
      </c>
      <c r="N41" s="2">
        <f>N40+M41-L41</f>
        <v>2570000</v>
      </c>
    </row>
    <row r="42">
      <c r="A42" t="inlineStr">
        <is>
          <t xml:space="preserve">2026-04-05</t>
        </is>
      </c>
      <c r="B42" t="inlineStr">
        <is>
          <t xml:space="preserve">Uang Keluar</t>
        </is>
      </c>
      <c r="C42" t="inlineStr">
        <is>
          <t xml:space="preserve">Bawang, gula, dan bumbu dapur</t>
        </is>
      </c>
      <c r="D42" t="inlineStr">
        <is>
          <t xml:space="preserve">Bahan Minuman dan Bumbu</t>
        </is>
      </c>
      <c r="K42" s="2" t="n">
        <v>4500000</v>
      </c>
      <c r="L42" s="2" t="n">
        <v>4500000</v>
      </c>
      <c r="N42" s="2">
        <f>N41+M42-L42</f>
        <v>-1930000</v>
      </c>
    </row>
    <row r="43">
      <c r="A43" t="inlineStr">
        <is>
          <t xml:space="preserve">2026-04-06</t>
        </is>
      </c>
      <c r="B43" t="inlineStr">
        <is>
          <t xml:space="preserve">Uang Keluar</t>
        </is>
      </c>
      <c r="C43" t="inlineStr">
        <is>
          <t xml:space="preserve">Minyak goreng curah</t>
        </is>
      </c>
      <c r="D43" t="inlineStr">
        <is>
          <t xml:space="preserve">Bahan Baku Makanan</t>
        </is>
      </c>
      <c r="H43" t="n">
        <v>225</v>
      </c>
      <c r="I43" t="inlineStr">
        <is>
          <t xml:space="preserve">liter</t>
        </is>
      </c>
      <c r="J43" s="2" t="n">
        <v>18000</v>
      </c>
      <c r="K43" s="2" t="n">
        <v>4050000</v>
      </c>
      <c r="L43" s="2" t="n">
        <v>4050000</v>
      </c>
      <c r="N43" s="2">
        <f>N42+M43-L43</f>
        <v>-5980000</v>
      </c>
    </row>
    <row r="44">
      <c r="A44" t="inlineStr">
        <is>
          <t xml:space="preserve">2026-04-08</t>
        </is>
      </c>
      <c r="B44" t="inlineStr">
        <is>
          <t xml:space="preserve">Uang Keluar</t>
        </is>
      </c>
      <c r="C44" t="inlineStr">
        <is>
          <t xml:space="preserve">Label dan segel</t>
        </is>
      </c>
      <c r="D44" t="inlineStr">
        <is>
          <t xml:space="preserve">Kemasan dan Label</t>
        </is>
      </c>
      <c r="H44" t="n">
        <v>2400</v>
      </c>
      <c r="I44" t="inlineStr">
        <is>
          <t xml:space="preserve">pcs</t>
        </is>
      </c>
      <c r="J44" s="2" t="n">
        <v>500</v>
      </c>
      <c r="K44" s="2" t="n">
        <v>1200000</v>
      </c>
      <c r="L44" s="2" t="n">
        <v>1200000</v>
      </c>
      <c r="N44" s="2">
        <f>N43+M44-L44</f>
        <v>-7180000</v>
      </c>
    </row>
    <row r="45">
      <c r="A45" t="inlineStr">
        <is>
          <t xml:space="preserve">2026-04-11</t>
        </is>
      </c>
      <c r="B45" t="inlineStr">
        <is>
          <t xml:space="preserve">Bayar Utang</t>
        </is>
      </c>
      <c r="C45" t="inlineStr">
        <is>
          <t xml:space="preserve">Pelunasan utang CV Kemasan Mitra</t>
        </is>
      </c>
      <c r="D45" t="inlineStr">
        <is>
          <t xml:space="preserve">Kemasan dan Label</t>
        </is>
      </c>
      <c r="E45" t="inlineStr">
        <is>
          <t xml:space="preserve">CV Kemasan Mitra</t>
        </is>
      </c>
      <c r="G45" t="inlineStr">
        <is>
          <t xml:space="preserve">UT-02</t>
        </is>
      </c>
      <c r="K45" s="2" t="n">
        <v>5500000</v>
      </c>
      <c r="L45" s="2" t="n">
        <v>5500000</v>
      </c>
      <c r="N45" s="2">
        <f>N44+M45-L45</f>
        <v>-12680000</v>
      </c>
    </row>
    <row r="46">
      <c r="A46" t="inlineStr">
        <is>
          <t xml:space="preserve">2026-04-15</t>
        </is>
      </c>
      <c r="B46" t="inlineStr">
        <is>
          <t xml:space="preserve">Uang Masuk</t>
        </is>
      </c>
      <c r="C46" t="inlineStr">
        <is>
          <t xml:space="preserve">Penjualan kasir 01-15 April</t>
        </is>
      </c>
      <c r="D46" t="inlineStr">
        <is>
          <t xml:space="preserve">Penjualan Makanan dan Minuman</t>
        </is>
      </c>
      <c r="H46" t="n">
        <v>960</v>
      </c>
      <c r="I46" t="inlineStr">
        <is>
          <t xml:space="preserve">botol</t>
        </is>
      </c>
      <c r="J46" s="2" t="n">
        <v>28000</v>
      </c>
      <c r="K46" s="2" t="n">
        <v>26880000</v>
      </c>
      <c r="M46" s="2" t="n">
        <v>26880000</v>
      </c>
      <c r="N46" s="2">
        <f>N45+M46-L46</f>
        <v>14200000</v>
      </c>
    </row>
    <row r="47">
      <c r="A47" t="inlineStr">
        <is>
          <t xml:space="preserve">2026-04-18</t>
        </is>
      </c>
      <c r="B47" t="inlineStr">
        <is>
          <t xml:space="preserve">Beli Alat Tunai</t>
        </is>
      </c>
      <c r="C47" t="inlineStr">
        <is>
          <t xml:space="preserve">Chiller penyimpanan bahan</t>
        </is>
      </c>
      <c r="D47" t="inlineStr">
        <is>
          <t xml:space="preserve">Peralatan Dapur dan Kafe</t>
        </is>
      </c>
      <c r="H47" t="n">
        <v>1</v>
      </c>
      <c r="I47" t="inlineStr">
        <is>
          <t xml:space="preserve">unit</t>
        </is>
      </c>
      <c r="J47" s="2" t="n">
        <v>3200000</v>
      </c>
      <c r="K47" s="2" t="n">
        <v>3200000</v>
      </c>
      <c r="L47" s="2" t="n">
        <v>3200000</v>
      </c>
      <c r="N47" s="2">
        <f>N46+M47-L47</f>
        <v>11000000</v>
      </c>
    </row>
    <row r="48">
      <c r="A48" t="inlineStr">
        <is>
          <t xml:space="preserve">2026-04-20</t>
        </is>
      </c>
      <c r="B48" t="inlineStr">
        <is>
          <t xml:space="preserve">Uang Keluar</t>
        </is>
      </c>
      <c r="C48" t="inlineStr">
        <is>
          <t xml:space="preserve">Gaji dua karyawan produksi April</t>
        </is>
      </c>
      <c r="D48" t="inlineStr">
        <is>
          <t xml:space="preserve">Gaji Koki dan Pegawai</t>
        </is>
      </c>
      <c r="H48" t="n">
        <v>2</v>
      </c>
      <c r="I48" t="inlineStr">
        <is>
          <t xml:space="preserve">orang-bulan</t>
        </is>
      </c>
      <c r="J48" s="2" t="n">
        <v>2200000</v>
      </c>
      <c r="K48" s="2" t="n">
        <v>4400000</v>
      </c>
      <c r="L48" s="2" t="n">
        <v>4400000</v>
      </c>
      <c r="N48" s="2">
        <f>N47+M48-L48</f>
        <v>6600000</v>
      </c>
    </row>
    <row r="49">
      <c r="A49" t="inlineStr">
        <is>
          <t xml:space="preserve">2026-04-22</t>
        </is>
      </c>
      <c r="B49" t="inlineStr">
        <is>
          <t xml:space="preserve">Uang Keluar</t>
        </is>
      </c>
      <c r="C49" t="inlineStr">
        <is>
          <t xml:space="preserve">Botol kaca dan tutup</t>
        </is>
      </c>
      <c r="D49" t="inlineStr">
        <is>
          <t xml:space="preserve">Kemasan dan Label</t>
        </is>
      </c>
      <c r="H49" t="n">
        <v>2400</v>
      </c>
      <c r="I49" t="inlineStr">
        <is>
          <t xml:space="preserve">pcs</t>
        </is>
      </c>
      <c r="J49" s="2" t="n">
        <v>2500</v>
      </c>
      <c r="K49" s="2" t="n">
        <v>6000000</v>
      </c>
      <c r="L49" s="2" t="n">
        <v>6000000</v>
      </c>
      <c r="N49" s="2">
        <f>N48+M49-L49</f>
        <v>600000</v>
      </c>
    </row>
    <row r="50">
      <c r="A50" t="inlineStr">
        <is>
          <t xml:space="preserve">2026-04-25</t>
        </is>
      </c>
      <c r="B50" t="inlineStr">
        <is>
          <t xml:space="preserve">Uang Keluar</t>
        </is>
      </c>
      <c r="C50" t="inlineStr">
        <is>
          <t xml:space="preserve">Gas, listrik, dan air April</t>
        </is>
      </c>
      <c r="D50" t="inlineStr">
        <is>
          <t xml:space="preserve">Gas, Listrik dan Air</t>
        </is>
      </c>
      <c r="K50" s="2" t="n">
        <v>1320000</v>
      </c>
      <c r="L50" s="2" t="n">
        <v>1320000</v>
      </c>
      <c r="N50" s="2">
        <f>N49+M50-L50</f>
        <v>-720000</v>
      </c>
    </row>
    <row r="51">
      <c r="A51" t="inlineStr">
        <is>
          <t xml:space="preserve">2026-04-26</t>
        </is>
      </c>
      <c r="B51" t="inlineStr">
        <is>
          <t xml:space="preserve">Uang Keluar</t>
        </is>
      </c>
      <c r="C51" t="inlineStr">
        <is>
          <t xml:space="preserve">Ongkos kirim pesanan luar kota</t>
        </is>
      </c>
      <c r="D51" t="inlineStr">
        <is>
          <t xml:space="preserve">Transport dan Pengiriman</t>
        </is>
      </c>
      <c r="K51" s="2" t="n">
        <v>1100000</v>
      </c>
      <c r="L51" s="2" t="n">
        <v>1100000</v>
      </c>
      <c r="N51" s="2">
        <f>N50+M51-L51</f>
        <v>-1820000</v>
      </c>
    </row>
    <row r="52">
      <c r="A52" t="inlineStr">
        <is>
          <t xml:space="preserve">2026-04-26</t>
        </is>
      </c>
      <c r="B52" t="inlineStr">
        <is>
          <t xml:space="preserve">Uang Keluar</t>
        </is>
      </c>
      <c r="C52" t="inlineStr">
        <is>
          <t xml:space="preserve">Iklan media sosial dan bazar UMKM</t>
        </is>
      </c>
      <c r="D52" t="inlineStr">
        <is>
          <t xml:space="preserve">Pemasaran dan Promosi</t>
        </is>
      </c>
      <c r="K52" s="2" t="n">
        <v>1500000</v>
      </c>
      <c r="L52" s="2" t="n">
        <v>1500000</v>
      </c>
      <c r="N52" s="2">
        <f>N51+M52-L52</f>
        <v>-3320000</v>
      </c>
    </row>
    <row r="53">
      <c r="A53" t="inlineStr">
        <is>
          <t xml:space="preserve">2026-04-28</t>
        </is>
      </c>
      <c r="B53" t="inlineStr">
        <is>
          <t xml:space="preserve">Bayar Bunga</t>
        </is>
      </c>
      <c r="C53" t="inlineStr">
        <is>
          <t xml:space="preserve">Bunga KUR bulan April</t>
        </is>
      </c>
      <c r="D53" t="inlineStr">
        <is>
          <t xml:space="preserve">Biaya Bunga Pinjaman</t>
        </is>
      </c>
      <c r="K53" s="2" t="n">
        <v>190000</v>
      </c>
      <c r="L53" s="2" t="n">
        <v>190000</v>
      </c>
      <c r="N53" s="2">
        <f>N52+M53-L53</f>
        <v>-3510000</v>
      </c>
    </row>
    <row r="54">
      <c r="A54" t="inlineStr">
        <is>
          <t xml:space="preserve">2026-04-28</t>
        </is>
      </c>
      <c r="B54" t="inlineStr">
        <is>
          <t xml:space="preserve">Bayar Pokok Pinjaman</t>
        </is>
      </c>
      <c r="C54" t="inlineStr">
        <is>
          <t xml:space="preserve">Angsuran pokok KUR April</t>
        </is>
      </c>
      <c r="D54" t="inlineStr">
        <is>
          <t xml:space="preserve">Pinjaman Usaha</t>
        </is>
      </c>
      <c r="K54" s="2" t="n">
        <v>1000000</v>
      </c>
      <c r="L54" s="2" t="n">
        <v>1000000</v>
      </c>
      <c r="N54" s="2">
        <f>N53+M54-L54</f>
        <v>-4510000</v>
      </c>
    </row>
    <row r="55">
      <c r="A55" t="inlineStr">
        <is>
          <t xml:space="preserve">2026-04-29</t>
        </is>
      </c>
      <c r="B55" t="inlineStr">
        <is>
          <t xml:space="preserve">Modal Keluar</t>
        </is>
      </c>
      <c r="C55" t="inlineStr">
        <is>
          <t xml:space="preserve">Prive pemilik untuk kebutuhan pribadi</t>
        </is>
      </c>
      <c r="D55" t="inlineStr">
        <is>
          <t xml:space="preserve">Modal Sendiri</t>
        </is>
      </c>
      <c r="K55" s="2" t="n">
        <v>2000000</v>
      </c>
      <c r="L55" s="2" t="n">
        <v>2000000</v>
      </c>
      <c r="N55" s="2">
        <f>N54+M55-L55</f>
        <v>-6510000</v>
      </c>
    </row>
    <row r="56">
      <c r="A56" t="inlineStr">
        <is>
          <t xml:space="preserve">2026-04-30</t>
        </is>
      </c>
      <c r="B56" t="inlineStr">
        <is>
          <t xml:space="preserve">Terima Piutang</t>
        </is>
      </c>
      <c r="C56" t="inlineStr">
        <is>
          <t xml:space="preserve">Penerimaan sebagian Warung Bu Ani</t>
        </is>
      </c>
      <c r="D56" t="inlineStr">
        <is>
          <t xml:space="preserve">Penjualan Makanan dan Minuman</t>
        </is>
      </c>
      <c r="E56" t="inlineStr">
        <is>
          <t xml:space="preserve">Warung Bu Ani</t>
        </is>
      </c>
      <c r="G56" t="inlineStr">
        <is>
          <t xml:space="preserve">PT-02</t>
        </is>
      </c>
      <c r="K56" s="2" t="n">
        <v>5000000</v>
      </c>
      <c r="M56" s="2" t="n">
        <v>5000000</v>
      </c>
      <c r="N56" s="2">
        <f>N55+M56-L56</f>
        <v>-1510000</v>
      </c>
    </row>
    <row r="57">
      <c r="A57" t="inlineStr">
        <is>
          <t xml:space="preserve">2026-04-30</t>
        </is>
      </c>
      <c r="B57" t="inlineStr">
        <is>
          <t xml:space="preserve">Uang Masuk</t>
        </is>
      </c>
      <c r="C57" t="inlineStr">
        <is>
          <t xml:space="preserve">Penjualan kasir 16-30 April</t>
        </is>
      </c>
      <c r="D57" t="inlineStr">
        <is>
          <t xml:space="preserve">Penjualan Makanan dan Minuman</t>
        </is>
      </c>
      <c r="H57" t="n">
        <v>1020</v>
      </c>
      <c r="I57" t="inlineStr">
        <is>
          <t xml:space="preserve">botol</t>
        </is>
      </c>
      <c r="J57" s="2" t="n">
        <v>28000</v>
      </c>
      <c r="K57" s="2" t="n">
        <v>28560000</v>
      </c>
      <c r="M57" s="2" t="n">
        <v>28560000</v>
      </c>
      <c r="N57" s="2">
        <f>N56+M57-L57</f>
        <v>27050000</v>
      </c>
    </row>
  </sheetData>
</worksheet>
</file>

<file path=xl/worksheets/sheet4.xml><?xml version="1.0" encoding="utf-8"?>
<worksheet xmlns="http://schemas.openxmlformats.org/spreadsheetml/2006/main">
  <dimension ref="A1:C32"/>
  <sheetViews>
    <sheetView workbookViewId="0"/>
  </sheetViews>
  <cols>
    <col min="1" max="1" width="42" customWidth="1"/>
    <col min="2" max="2" width="22" customWidth="1"/>
    <col min="3" max="3" width="76" customWidth="1"/>
  </cols>
  <sheetData>
    <row r="1">
      <c r="A1" s="3" t="inlineStr">
        <is>
          <t xml:space="preserve">Laporan Laba Rugi - Realisasi Februari sampai April 2026</t>
        </is>
      </c>
    </row>
    <row r="2">
      <c r="A2" t="inlineStr">
        <is>
          <t xml:space="preserve">Setiap angka pada lembar ini adalah rumus SUMIFS atas lembar Transaksi Harian (Realisasi).</t>
        </is>
      </c>
    </row>
    <row r="3"/>
    <row r="4">
      <c r="A4" s="1" t="inlineStr">
        <is>
          <t xml:space="preserve">Uraian</t>
        </is>
      </c>
      <c r="B4" s="1" t="inlineStr">
        <is>
          <t xml:space="preserve">Jumlah (Rp)</t>
        </is>
      </c>
      <c r="C4" s="1" t="inlineStr">
        <is>
          <t xml:space="preserve">Catatan</t>
        </is>
      </c>
    </row>
    <row r="5">
      <c r="A5" t="inlineStr">
        <is>
          <t xml:space="preserve">Penjualan tunai</t>
        </is>
      </c>
      <c r="B5" s="2">
        <f>SUMIFS('Transaksi Harian (Realisasi)'!$K$2:$K$57,'Transaksi Harian (Realisasi)'!$B$2:$B$57,"Uang Masuk")</f>
        <v>133840000</v>
      </c>
      <c r="C5" t="inlineStr">
        <is>
          <t xml:space="preserve">Jenis Uang Masuk pada buku transaksi</t>
        </is>
      </c>
    </row>
    <row r="6">
      <c r="A6" t="inlineStr">
        <is>
          <t xml:space="preserve">Penjualan tempo (piutang)</t>
        </is>
      </c>
      <c r="B6" s="2">
        <f>SUMIFS('Transaksi Harian (Realisasi)'!$K$2:$K$57,'Transaksi Harian (Realisasi)'!$B$2:$B$57,"Penjualan Tempo")</f>
        <v>15400000</v>
      </c>
      <c r="C6" t="inlineStr">
        <is>
          <t xml:space="preserve">Diakui sebagai omzet saat penyerahan barang, bukan saat uang diterima</t>
        </is>
      </c>
    </row>
    <row r="7">
      <c r="A7" s="4" t="inlineStr">
        <is>
          <t xml:space="preserve">Omzet penjualan</t>
        </is>
      </c>
      <c r="B7" s="5">
        <f>B5+B6</f>
        <v>149240000</v>
      </c>
    </row>
    <row r="8"/>
    <row r="9">
      <c r="A9" s="4" t="inlineStr">
        <is>
          <t xml:space="preserve">Beban pokok penjualan (HPP akuntansi)</t>
        </is>
      </c>
    </row>
    <row r="10">
      <c r="A10" t="inlineStr">
        <is>
          <t xml:space="preserve">Bahan Baku Makanan</t>
        </is>
      </c>
      <c r="B10" s="2">
        <f>SUMIFS('Transaksi Harian (Realisasi)'!$K$2:$K$57,'Transaksi Harian (Realisasi)'!$D$2:$D$57,"Bahan Baku Makanan",'Transaksi Harian (Realisasi)'!$B$2:$B$57,"Uang Keluar")+SUMIFS('Transaksi Harian (Realisasi)'!$K$2:$K$57,'Transaksi Harian (Realisasi)'!$D$2:$D$57,"Bahan Baku Makanan",'Transaksi Harian (Realisasi)'!$B$2:$B$57,"Belanja Tempo")</f>
        <v>71580000</v>
      </c>
    </row>
    <row r="11">
      <c r="A11" t="inlineStr">
        <is>
          <t xml:space="preserve">Bahan Minuman dan Bumbu</t>
        </is>
      </c>
      <c r="B11" s="2">
        <f>SUMIFS('Transaksi Harian (Realisasi)'!$K$2:$K$57,'Transaksi Harian (Realisasi)'!$D$2:$D$57,"Bahan Minuman dan Bumbu",'Transaksi Harian (Realisasi)'!$B$2:$B$57,"Uang Keluar")+SUMIFS('Transaksi Harian (Realisasi)'!$K$2:$K$57,'Transaksi Harian (Realisasi)'!$D$2:$D$57,"Bahan Minuman dan Bumbu",'Transaksi Harian (Realisasi)'!$B$2:$B$57,"Belanja Tempo")</f>
        <v>10900000</v>
      </c>
    </row>
    <row r="12">
      <c r="A12" t="inlineStr">
        <is>
          <t xml:space="preserve">Kemasan dan Label</t>
        </is>
      </c>
      <c r="B12" s="2">
        <f>SUMIFS('Transaksi Harian (Realisasi)'!$K$2:$K$57,'Transaksi Harian (Realisasi)'!$D$2:$D$57,"Kemasan dan Label",'Transaksi Harian (Realisasi)'!$B$2:$B$57,"Uang Keluar")+SUMIFS('Transaksi Harian (Realisasi)'!$K$2:$K$57,'Transaksi Harian (Realisasi)'!$D$2:$D$57,"Kemasan dan Label",'Transaksi Harian (Realisasi)'!$B$2:$B$57,"Belanja Tempo")</f>
        <v>19800000</v>
      </c>
    </row>
    <row r="13">
      <c r="A13" t="inlineStr">
        <is>
          <t xml:space="preserve">Gaji Koki dan Pegawai</t>
        </is>
      </c>
      <c r="B13" s="2">
        <f>SUMIFS('Transaksi Harian (Realisasi)'!$K$2:$K$57,'Transaksi Harian (Realisasi)'!$D$2:$D$57,"Gaji Koki dan Pegawai",'Transaksi Harian (Realisasi)'!$B$2:$B$57,"Uang Keluar")+SUMIFS('Transaksi Harian (Realisasi)'!$K$2:$K$57,'Transaksi Harian (Realisasi)'!$D$2:$D$57,"Gaji Koki dan Pegawai",'Transaksi Harian (Realisasi)'!$B$2:$B$57,"Belanja Tempo")</f>
        <v>12400000</v>
      </c>
    </row>
    <row r="14">
      <c r="A14" s="4" t="inlineStr">
        <is>
          <t xml:space="preserve">Total beban pokok penjualan</t>
        </is>
      </c>
      <c r="B14" s="5">
        <f>B10+B11+B12+B13</f>
        <v>114680000</v>
      </c>
    </row>
    <row r="15">
      <c r="A15" s="4" t="inlineStr">
        <is>
          <t xml:space="preserve">Laba kotor</t>
        </is>
      </c>
      <c r="B15" s="5">
        <f>B7-B14</f>
        <v>34560000</v>
      </c>
      <c r="C15" t="inlineStr">
        <is>
          <t xml:space="preserve">Omzet penjualan dikurangi beban pokok penjualan</t>
        </is>
      </c>
    </row>
    <row r="16"/>
    <row r="17">
      <c r="A17" s="4" t="inlineStr">
        <is>
          <t xml:space="preserve">Beban operasional</t>
        </is>
      </c>
    </row>
    <row r="18">
      <c r="A18" t="inlineStr">
        <is>
          <t xml:space="preserve">Sewa Tempat</t>
        </is>
      </c>
      <c r="B18" s="2">
        <f>SUMIFS('Transaksi Harian (Realisasi)'!$K$2:$K$57,'Transaksi Harian (Realisasi)'!$D$2:$D$57,"Sewa Tempat",'Transaksi Harian (Realisasi)'!$B$2:$B$57,"Uang Keluar")+SUMIFS('Transaksi Harian (Realisasi)'!$K$2:$K$57,'Transaksi Harian (Realisasi)'!$D$2:$D$57,"Sewa Tempat",'Transaksi Harian (Realisasi)'!$B$2:$B$57,"Belanja Tempo")</f>
        <v>7500000</v>
      </c>
    </row>
    <row r="19">
      <c r="A19" t="inlineStr">
        <is>
          <t xml:space="preserve">Gas, Listrik dan Air</t>
        </is>
      </c>
      <c r="B19" s="2">
        <f>SUMIFS('Transaksi Harian (Realisasi)'!$K$2:$K$57,'Transaksi Harian (Realisasi)'!$D$2:$D$57,"Gas, Listrik dan Air",'Transaksi Harian (Realisasi)'!$B$2:$B$57,"Uang Keluar")+SUMIFS('Transaksi Harian (Realisasi)'!$K$2:$K$57,'Transaksi Harian (Realisasi)'!$D$2:$D$57,"Gas, Listrik dan Air",'Transaksi Harian (Realisasi)'!$B$2:$B$57,"Belanja Tempo")</f>
        <v>3720000</v>
      </c>
    </row>
    <row r="20">
      <c r="A20" t="inlineStr">
        <is>
          <t xml:space="preserve">Perizinan dan Administrasi</t>
        </is>
      </c>
      <c r="B20" s="2">
        <f>SUMIFS('Transaksi Harian (Realisasi)'!$K$2:$K$57,'Transaksi Harian (Realisasi)'!$D$2:$D$57,"Perizinan dan Administrasi",'Transaksi Harian (Realisasi)'!$B$2:$B$57,"Uang Keluar")+SUMIFS('Transaksi Harian (Realisasi)'!$K$2:$K$57,'Transaksi Harian (Realisasi)'!$D$2:$D$57,"Perizinan dan Administrasi",'Transaksi Harian (Realisasi)'!$B$2:$B$57,"Belanja Tempo")</f>
        <v>1750000</v>
      </c>
    </row>
    <row r="21">
      <c r="A21" t="inlineStr">
        <is>
          <t xml:space="preserve">Pemasaran dan Promosi</t>
        </is>
      </c>
      <c r="B21" s="2">
        <f>SUMIFS('Transaksi Harian (Realisasi)'!$K$2:$K$57,'Transaksi Harian (Realisasi)'!$D$2:$D$57,"Pemasaran dan Promosi",'Transaksi Harian (Realisasi)'!$B$2:$B$57,"Uang Keluar")+SUMIFS('Transaksi Harian (Realisasi)'!$K$2:$K$57,'Transaksi Harian (Realisasi)'!$D$2:$D$57,"Pemasaran dan Promosi",'Transaksi Harian (Realisasi)'!$B$2:$B$57,"Belanja Tempo")</f>
        <v>3500000</v>
      </c>
    </row>
    <row r="22">
      <c r="A22" t="inlineStr">
        <is>
          <t xml:space="preserve">Transport dan Pengiriman</t>
        </is>
      </c>
      <c r="B22" s="2">
        <f>SUMIFS('Transaksi Harian (Realisasi)'!$K$2:$K$57,'Transaksi Harian (Realisasi)'!$D$2:$D$57,"Transport dan Pengiriman",'Transaksi Harian (Realisasi)'!$B$2:$B$57,"Uang Keluar")+SUMIFS('Transaksi Harian (Realisasi)'!$K$2:$K$57,'Transaksi Harian (Realisasi)'!$D$2:$D$57,"Transport dan Pengiriman",'Transaksi Harian (Realisasi)'!$B$2:$B$57,"Belanja Tempo")</f>
        <v>2050000</v>
      </c>
    </row>
    <row r="23">
      <c r="A23" s="4" t="inlineStr">
        <is>
          <t xml:space="preserve">Total beban operasional</t>
        </is>
      </c>
      <c r="B23" s="5">
        <f>B18+B19+B20+B21+B22</f>
        <v>18520000</v>
      </c>
    </row>
    <row r="24">
      <c r="A24" s="4" t="inlineStr">
        <is>
          <t xml:space="preserve">Laba usaha</t>
        </is>
      </c>
      <c r="B24" s="5">
        <f>B15-B23</f>
        <v>16040000</v>
      </c>
      <c r="C24" t="inlineStr">
        <is>
          <t xml:space="preserve">Laba sebelum beban bunga</t>
        </is>
      </c>
    </row>
    <row r="25"/>
    <row r="26">
      <c r="A26" t="inlineStr">
        <is>
          <t xml:space="preserve">Beban bunga pinjaman</t>
        </is>
      </c>
      <c r="B26" s="2">
        <f>SUMIFS('Transaksi Harian (Realisasi)'!$K$2:$K$57,'Transaksi Harian (Realisasi)'!$B$2:$B$57,"Bayar Bunga")</f>
        <v>390000</v>
      </c>
      <c r="C26" t="inlineStr">
        <is>
          <t xml:space="preserve">Bunga adalah beban; angsuran pokok bukan beban</t>
        </is>
      </c>
    </row>
    <row r="27">
      <c r="A27" s="4" t="inlineStr">
        <is>
          <t xml:space="preserve">Laba bersih</t>
        </is>
      </c>
      <c r="B27" s="5">
        <f>B24-B26</f>
        <v>15650000</v>
      </c>
      <c r="C27" t="inlineStr">
        <is>
          <t xml:space="preserve">Angka ini harus sama dengan Laba Bersih pada Laporan Mankeu</t>
        </is>
      </c>
    </row>
    <row r="28"/>
    <row r="29">
      <c r="A29" s="4" t="inlineStr">
        <is>
          <t xml:space="preserve">Pemeriksaan silang dengan model Mankeu</t>
        </is>
      </c>
    </row>
    <row r="30">
      <c r="A30" t="inlineStr">
        <is>
          <t xml:space="preserve">Total beban operasional versi Mankeu</t>
        </is>
      </c>
      <c r="B30" s="2">
        <f>B14+B23+B26</f>
        <v>133590000</v>
      </c>
      <c r="C30" t="inlineStr">
        <is>
          <t xml:space="preserve">Mankeu menggabungkan HPP, beban operasional, dan bunga menjadi satu Beban Operasional</t>
        </is>
      </c>
    </row>
    <row r="31">
      <c r="A31" t="inlineStr">
        <is>
          <t xml:space="preserve">Laba bersih versi Mankeu</t>
        </is>
      </c>
      <c r="B31" s="2">
        <f>B7-(B14+B23+B26)</f>
        <v>15650000</v>
      </c>
      <c r="C31" t="inlineStr">
        <is>
          <t xml:space="preserve">Sama dengan Laba bersih di atas</t>
        </is>
      </c>
    </row>
    <row r="32">
      <c r="A32" t="inlineStr">
        <is>
          <t xml:space="preserve">Margin laba bersih (persen)</t>
        </is>
      </c>
      <c r="B32" s="6">
        <f>ROUND(B27/B7*100,2)</f>
        <v>10.49</v>
      </c>
      <c r="C32" t="inlineStr">
        <is>
          <t xml:space="preserve">Dibulatkan dua angka di belakang koma, sama dengan aplikasi</t>
        </is>
      </c>
    </row>
  </sheetData>
</worksheet>
</file>

<file path=xl/worksheets/sheet5.xml><?xml version="1.0" encoding="utf-8"?>
<worksheet xmlns="http://schemas.openxmlformats.org/spreadsheetml/2006/main">
  <dimension ref="A1:F58"/>
  <sheetViews>
    <sheetView workbookViewId="0"/>
  </sheetViews>
  <cols>
    <col min="1" max="1" width="42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>
      <c r="A1" s="3" t="inlineStr">
        <is>
          <t xml:space="preserve">Arus Kas dan Analisis Kelayakan Usaha</t>
        </is>
      </c>
    </row>
    <row r="2">
      <c r="A2" t="inlineStr">
        <is>
          <t xml:space="preserve">Bagian A dan B memakai buku Realisasi. Bagian C memakai buku Proyeksi (RAB dan parameter).</t>
        </is>
      </c>
    </row>
    <row r="3"/>
    <row r="4">
      <c r="A4" s="4" t="inlineStr">
        <is>
          <t xml:space="preserve">A. Arus kas bulanan (Realisasi)</t>
        </is>
      </c>
    </row>
    <row r="5">
      <c r="A5" s="1" t="inlineStr">
        <is>
          <t xml:space="preserve">Bulan</t>
        </is>
      </c>
      <c r="B5" s="1" t="inlineStr">
        <is>
          <t xml:space="preserve">Arus Kas Operasi (Rp)</t>
        </is>
      </c>
      <c r="C5" s="1" t="inlineStr">
        <is>
          <t xml:space="preserve">Arus Kas Investasi (Rp)</t>
        </is>
      </c>
      <c r="D5" s="1" t="inlineStr">
        <is>
          <t xml:space="preserve">Arus Kas Pendanaan (Rp)</t>
        </is>
      </c>
      <c r="E5" s="1" t="inlineStr">
        <is>
          <t xml:space="preserve">Arus Kas Bersih (Rp)</t>
        </is>
      </c>
      <c r="F5" s="1" t="inlineStr">
        <is>
          <t xml:space="preserve">Kas Kumulatif (Rp)</t>
        </is>
      </c>
    </row>
    <row r="6">
      <c r="A6" t="inlineStr">
        <is>
          <t xml:space="preserve">Februari 2026</t>
        </is>
      </c>
      <c r="B6" s="2">
        <f>SUMIFS('Transaksi Harian (Realisasi)'!$K$2:$K$57,'Transaksi Harian (Realisasi)'!$B$2:$B$57,"Uang Masuk",'Transaksi Harian (Realisasi)'!$A$2:$A$57,"&gt;=2026-02-01",'Transaksi Harian (Realisasi)'!$A$2:$A$57,"&lt;=2026-02-31")+SUMIFS('Transaksi Harian (Realisasi)'!$K$2:$K$57,'Transaksi Harian (Realisasi)'!$B$2:$B$57,"Terima Piutang",'Transaksi Harian (Realisasi)'!$A$2:$A$57,"&gt;=2026-02-01",'Transaksi Harian (Realisasi)'!$A$2:$A$57,"&lt;=2026-02-31")-(SUMIFS('Transaksi Harian (Realisasi)'!$K$2:$K$57,'Transaksi Harian (Realisasi)'!$B$2:$B$57,"Uang Keluar",'Transaksi Harian (Realisasi)'!$A$2:$A$57,"&gt;=2026-02-01",'Transaksi Harian (Realisasi)'!$A$2:$A$57,"&lt;=2026-02-31")+SUMIFS('Transaksi Harian (Realisasi)'!$K$2:$K$57,'Transaksi Harian (Realisasi)'!$B$2:$B$57,"Bayar Utang",'Transaksi Harian (Realisasi)'!$A$2:$A$57,"&gt;=2026-02-01",'Transaksi Harian (Realisasi)'!$A$2:$A$57,"&lt;=2026-02-31")+SUMIFS('Transaksi Harian (Realisasi)'!$K$2:$K$57,'Transaksi Harian (Realisasi)'!$B$2:$B$57,"Bayar Bunga",'Transaksi Harian (Realisasi)'!$A$2:$A$57,"&gt;=2026-02-01",'Transaksi Harian (Realisasi)'!$A$2:$A$57,"&lt;=2026-02-31"))</f>
        <v>-8320000</v>
      </c>
      <c r="C6" s="2">
        <f>-(SUMIFS('Transaksi Harian (Realisasi)'!$K$2:$K$57,'Transaksi Harian (Realisasi)'!$B$2:$B$57,"Beli Alat Tunai",'Transaksi Harian (Realisasi)'!$A$2:$A$57,"&gt;=2026-02-01",'Transaksi Harian (Realisasi)'!$A$2:$A$57,"&lt;=2026-02-31"))</f>
        <v>-13000000</v>
      </c>
      <c r="D6" s="2">
        <f>SUMIFS('Transaksi Harian (Realisasi)'!$K$2:$K$57,'Transaksi Harian (Realisasi)'!$B$2:$B$57,"Modal Masuk",'Transaksi Harian (Realisasi)'!$A$2:$A$57,"&gt;=2026-02-01",'Transaksi Harian (Realisasi)'!$A$2:$A$57,"&lt;=2026-02-31")+SUMIFS('Transaksi Harian (Realisasi)'!$K$2:$K$57,'Transaksi Harian (Realisasi)'!$B$2:$B$57,"Pinjaman Masuk",'Transaksi Harian (Realisasi)'!$A$2:$A$57,"&gt;=2026-02-01",'Transaksi Harian (Realisasi)'!$A$2:$A$57,"&lt;=2026-02-31")-(SUMIFS('Transaksi Harian (Realisasi)'!$K$2:$K$57,'Transaksi Harian (Realisasi)'!$B$2:$B$57,"Modal Keluar",'Transaksi Harian (Realisasi)'!$A$2:$A$57,"&gt;=2026-02-01",'Transaksi Harian (Realisasi)'!$A$2:$A$57,"&lt;=2026-02-31")+SUMIFS('Transaksi Harian (Realisasi)'!$K$2:$K$57,'Transaksi Harian (Realisasi)'!$B$2:$B$57,"Bayar Pokok Pinjaman",'Transaksi Harian (Realisasi)'!$A$2:$A$57,"&gt;=2026-02-01",'Transaksi Harian (Realisasi)'!$A$2:$A$57,"&lt;=2026-02-31"))</f>
        <v>35000000</v>
      </c>
      <c r="E6" s="2">
        <f>B6+C6+D6</f>
        <v>13680000</v>
      </c>
      <c r="F6" s="2">
        <f>0+E6</f>
        <v>13680000</v>
      </c>
    </row>
    <row r="7">
      <c r="A7" t="inlineStr">
        <is>
          <t xml:space="preserve">Maret 2026</t>
        </is>
      </c>
      <c r="B7" s="2">
        <f>SUMIFS('Transaksi Harian (Realisasi)'!$K$2:$K$57,'Transaksi Harian (Realisasi)'!$B$2:$B$57,"Uang Masuk",'Transaksi Harian (Realisasi)'!$A$2:$A$57,"&gt;=2026-03-01",'Transaksi Harian (Realisasi)'!$A$2:$A$57,"&lt;=2026-03-31")+SUMIFS('Transaksi Harian (Realisasi)'!$K$2:$K$57,'Transaksi Harian (Realisasi)'!$B$2:$B$57,"Terima Piutang",'Transaksi Harian (Realisasi)'!$A$2:$A$57,"&gt;=2026-03-01",'Transaksi Harian (Realisasi)'!$A$2:$A$57,"&lt;=2026-03-31")-(SUMIFS('Transaksi Harian (Realisasi)'!$K$2:$K$57,'Transaksi Harian (Realisasi)'!$B$2:$B$57,"Uang Keluar",'Transaksi Harian (Realisasi)'!$A$2:$A$57,"&gt;=2026-03-01",'Transaksi Harian (Realisasi)'!$A$2:$A$57,"&lt;=2026-03-31")+SUMIFS('Transaksi Harian (Realisasi)'!$K$2:$K$57,'Transaksi Harian (Realisasi)'!$B$2:$B$57,"Bayar Utang",'Transaksi Harian (Realisasi)'!$A$2:$A$57,"&gt;=2026-03-01",'Transaksi Harian (Realisasi)'!$A$2:$A$57,"&lt;=2026-03-31")+SUMIFS('Transaksi Harian (Realisasi)'!$K$2:$K$57,'Transaksi Harian (Realisasi)'!$B$2:$B$57,"Bayar Bunga",'Transaksi Harian (Realisasi)'!$A$2:$A$57,"&gt;=2026-03-01",'Transaksi Harian (Realisasi)'!$A$2:$A$57,"&lt;=2026-03-31"))</f>
        <v>12640000</v>
      </c>
      <c r="C7" s="2">
        <f>-(SUMIFS('Transaksi Harian (Realisasi)'!$K$2:$K$57,'Transaksi Harian (Realisasi)'!$B$2:$B$57,"Beli Alat Tunai",'Transaksi Harian (Realisasi)'!$A$2:$A$57,"&gt;=2026-03-01",'Transaksi Harian (Realisasi)'!$A$2:$A$57,"&lt;=2026-03-31"))</f>
        <v>0</v>
      </c>
      <c r="D7" s="2">
        <f>SUMIFS('Transaksi Harian (Realisasi)'!$K$2:$K$57,'Transaksi Harian (Realisasi)'!$B$2:$B$57,"Modal Masuk",'Transaksi Harian (Realisasi)'!$A$2:$A$57,"&gt;=2026-03-01",'Transaksi Harian (Realisasi)'!$A$2:$A$57,"&lt;=2026-03-31")+SUMIFS('Transaksi Harian (Realisasi)'!$K$2:$K$57,'Transaksi Harian (Realisasi)'!$B$2:$B$57,"Pinjaman Masuk",'Transaksi Harian (Realisasi)'!$A$2:$A$57,"&gt;=2026-03-01",'Transaksi Harian (Realisasi)'!$A$2:$A$57,"&lt;=2026-03-31")-(SUMIFS('Transaksi Harian (Realisasi)'!$K$2:$K$57,'Transaksi Harian (Realisasi)'!$B$2:$B$57,"Modal Keluar",'Transaksi Harian (Realisasi)'!$A$2:$A$57,"&gt;=2026-03-01",'Transaksi Harian (Realisasi)'!$A$2:$A$57,"&lt;=2026-03-31")+SUMIFS('Transaksi Harian (Realisasi)'!$K$2:$K$57,'Transaksi Harian (Realisasi)'!$B$2:$B$57,"Bayar Pokok Pinjaman",'Transaksi Harian (Realisasi)'!$A$2:$A$57,"&gt;=2026-03-01",'Transaksi Harian (Realisasi)'!$A$2:$A$57,"&lt;=2026-03-31"))</f>
        <v>-1000000</v>
      </c>
      <c r="E7" s="2">
        <f>B7+C7+D7</f>
        <v>11640000</v>
      </c>
      <c r="F7" s="2">
        <f>F6+E7</f>
        <v>25320000</v>
      </c>
    </row>
    <row r="8">
      <c r="A8" t="inlineStr">
        <is>
          <t xml:space="preserve">April 2026</t>
        </is>
      </c>
      <c r="B8" s="2">
        <f>SUMIFS('Transaksi Harian (Realisasi)'!$K$2:$K$57,'Transaksi Harian (Realisasi)'!$B$2:$B$57,"Uang Masuk",'Transaksi Harian (Realisasi)'!$A$2:$A$57,"&gt;=2026-04-01",'Transaksi Harian (Realisasi)'!$A$2:$A$57,"&lt;=2026-04-31")+SUMIFS('Transaksi Harian (Realisasi)'!$K$2:$K$57,'Transaksi Harian (Realisasi)'!$B$2:$B$57,"Terima Piutang",'Transaksi Harian (Realisasi)'!$A$2:$A$57,"&gt;=2026-04-01",'Transaksi Harian (Realisasi)'!$A$2:$A$57,"&lt;=2026-04-31")-(SUMIFS('Transaksi Harian (Realisasi)'!$K$2:$K$57,'Transaksi Harian (Realisasi)'!$B$2:$B$57,"Uang Keluar",'Transaksi Harian (Realisasi)'!$A$2:$A$57,"&gt;=2026-04-01",'Transaksi Harian (Realisasi)'!$A$2:$A$57,"&lt;=2026-04-31")+SUMIFS('Transaksi Harian (Realisasi)'!$K$2:$K$57,'Transaksi Harian (Realisasi)'!$B$2:$B$57,"Bayar Utang",'Transaksi Harian (Realisasi)'!$A$2:$A$57,"&gt;=2026-04-01",'Transaksi Harian (Realisasi)'!$A$2:$A$57,"&lt;=2026-04-31")+SUMIFS('Transaksi Harian (Realisasi)'!$K$2:$K$57,'Transaksi Harian (Realisasi)'!$B$2:$B$57,"Bayar Bunga",'Transaksi Harian (Realisasi)'!$A$2:$A$57,"&gt;=2026-04-01",'Transaksi Harian (Realisasi)'!$A$2:$A$57,"&lt;=2026-04-31"))</f>
        <v>7930000</v>
      </c>
      <c r="C8" s="2">
        <f>-(SUMIFS('Transaksi Harian (Realisasi)'!$K$2:$K$57,'Transaksi Harian (Realisasi)'!$B$2:$B$57,"Beli Alat Tunai",'Transaksi Harian (Realisasi)'!$A$2:$A$57,"&gt;=2026-04-01",'Transaksi Harian (Realisasi)'!$A$2:$A$57,"&lt;=2026-04-31"))</f>
        <v>-3200000</v>
      </c>
      <c r="D8" s="2">
        <f>SUMIFS('Transaksi Harian (Realisasi)'!$K$2:$K$57,'Transaksi Harian (Realisasi)'!$B$2:$B$57,"Modal Masuk",'Transaksi Harian (Realisasi)'!$A$2:$A$57,"&gt;=2026-04-01",'Transaksi Harian (Realisasi)'!$A$2:$A$57,"&lt;=2026-04-31")+SUMIFS('Transaksi Harian (Realisasi)'!$K$2:$K$57,'Transaksi Harian (Realisasi)'!$B$2:$B$57,"Pinjaman Masuk",'Transaksi Harian (Realisasi)'!$A$2:$A$57,"&gt;=2026-04-01",'Transaksi Harian (Realisasi)'!$A$2:$A$57,"&lt;=2026-04-31")-(SUMIFS('Transaksi Harian (Realisasi)'!$K$2:$K$57,'Transaksi Harian (Realisasi)'!$B$2:$B$57,"Modal Keluar",'Transaksi Harian (Realisasi)'!$A$2:$A$57,"&gt;=2026-04-01",'Transaksi Harian (Realisasi)'!$A$2:$A$57,"&lt;=2026-04-31")+SUMIFS('Transaksi Harian (Realisasi)'!$K$2:$K$57,'Transaksi Harian (Realisasi)'!$B$2:$B$57,"Bayar Pokok Pinjaman",'Transaksi Harian (Realisasi)'!$A$2:$A$57,"&gt;=2026-04-01",'Transaksi Harian (Realisasi)'!$A$2:$A$57,"&lt;=2026-04-31"))</f>
        <v>-3000000</v>
      </c>
      <c r="E8" s="2">
        <f>B8+C8+D8</f>
        <v>1730000</v>
      </c>
      <c r="F8" s="2">
        <f>F7+E8</f>
        <v>27050000</v>
      </c>
    </row>
    <row r="9">
      <c r="A9" s="4" t="inlineStr">
        <is>
          <t xml:space="preserve">Total siklus</t>
        </is>
      </c>
      <c r="B9" s="5">
        <f>SUM(B6:B8)</f>
        <v>12250000</v>
      </c>
      <c r="C9" s="5">
        <f>SUM(C6:C8)</f>
        <v>-16200000</v>
      </c>
      <c r="D9" s="5">
        <f>SUM(D6:D8)</f>
        <v>31000000</v>
      </c>
      <c r="E9" s="5">
        <f>SUM(E6:E8)</f>
        <v>27050000</v>
      </c>
      <c r="F9" s="5">
        <f>F8</f>
        <v>27050000</v>
      </c>
    </row>
    <row r="10"/>
    <row r="11">
      <c r="A11" s="4" t="inlineStr">
        <is>
          <t xml:space="preserve">B. Kebutuhan modal kerja (Realisasi)</t>
        </is>
      </c>
    </row>
    <row r="12">
      <c r="A12" t="inlineStr">
        <is>
          <t xml:space="preserve">Kas sebelum pendanaan (operasi ditambah investasi)</t>
        </is>
      </c>
      <c r="B12" s="2">
        <f>B9+C9</f>
        <v>-3950000</v>
      </c>
      <c r="C12" t="inlineStr">
        <is>
          <t xml:space="preserve">Saldo kas awal ditambah arus kas operasi dan investasi</t>
        </is>
      </c>
    </row>
    <row r="13">
      <c r="A13" t="inlineStr">
        <is>
          <t xml:space="preserve">Defisit kumulatif terdalam</t>
        </is>
      </c>
      <c r="B13" s="2" t="n">
        <v>0</v>
      </c>
      <c r="C13" t="inlineStr">
        <is>
          <t xml:space="preserve">Nilai negatif terdalam pada kolom Kas Kumulatif; nol bila tidak pernah negatif</t>
        </is>
      </c>
    </row>
    <row r="14">
      <c r="A14" s="4" t="inlineStr">
        <is>
          <t xml:space="preserve">Kebutuhan modal kerja (financing gap)</t>
        </is>
      </c>
      <c r="B14" s="5">
        <f>MAX(-B12,B13,0)</f>
        <v>3950000</v>
      </c>
      <c r="C14" t="inlineStr">
        <is>
          <t xml:space="preserve">Sama dengan Kebutuhan Modal Kerja pada Laporan Mankeu</t>
        </is>
      </c>
    </row>
    <row r="15">
      <c r="A15" t="inlineStr">
        <is>
          <t xml:space="preserve">Piutang belum tertagih</t>
        </is>
      </c>
      <c r="B15" s="2" t="n">
        <v>3400000</v>
      </c>
      <c r="C15" t="inlineStr">
        <is>
          <t xml:space="preserve">Sisa tagihan Warung Bu Ani</t>
        </is>
      </c>
    </row>
    <row r="16">
      <c r="A16" t="inlineStr">
        <is>
          <t xml:space="preserve">Utang belum dibayar</t>
        </is>
      </c>
      <c r="B16" s="2" t="n">
        <v>0</v>
      </c>
      <c r="C16" t="inlineStr">
        <is>
          <t xml:space="preserve">Seluruh utang dagang sudah dilunasi</t>
        </is>
      </c>
    </row>
    <row r="17"/>
    <row r="18">
      <c r="A18" s="4" t="inlineStr">
        <is>
          <t xml:space="preserve">C. Analisis kelayakan - buku Proyeksi</t>
        </is>
      </c>
    </row>
    <row r="19">
      <c r="A19" s="1" t="inlineStr">
        <is>
          <t xml:space="preserve">Komponen</t>
        </is>
      </c>
      <c r="B19" s="1" t="inlineStr">
        <is>
          <t xml:space="preserve">Nilai</t>
        </is>
      </c>
      <c r="C19" s="1" t="inlineStr">
        <is>
          <t xml:space="preserve">Cara hitung</t>
        </is>
      </c>
    </row>
    <row r="20">
      <c r="A20" t="inlineStr">
        <is>
          <t xml:space="preserve">Total anggaran biaya operasional</t>
        </is>
      </c>
      <c r="B20" s="2" t="n">
        <v>128050000</v>
      </c>
      <c r="C20" t="inlineStr">
        <is>
          <t xml:space="preserve">Seluruh baris RAB selain peralatan dan target omzet</t>
        </is>
      </c>
    </row>
    <row r="21">
      <c r="A21" t="inlineStr">
        <is>
          <t xml:space="preserve">Beban bunga pinjaman</t>
        </is>
      </c>
      <c r="B21" s="2" t="n">
        <v>2400000</v>
      </c>
      <c r="C21" t="inlineStr">
        <is>
          <t xml:space="preserve">Pinjaman dikali suku bunga dibagi 10.000 basis poin</t>
        </is>
      </c>
    </row>
    <row r="22">
      <c r="A22" t="inlineStr">
        <is>
          <t xml:space="preserve">Biaya pembiayaan lainnya</t>
        </is>
      </c>
      <c r="B22" s="2" t="n">
        <v>400000</v>
      </c>
      <c r="C22" t="inlineStr">
        <is>
          <t xml:space="preserve">Parameter</t>
        </is>
      </c>
    </row>
    <row r="23">
      <c r="A23" s="4" t="inlineStr">
        <is>
          <t xml:space="preserve">Total biaya produksi</t>
        </is>
      </c>
      <c r="B23" s="5">
        <f>B20+B21+B22</f>
        <v>130850000</v>
      </c>
      <c r="C23" t="inlineStr">
        <is>
          <t xml:space="preserve">Dasar HPP, BEP, dan BCR di aplikasi</t>
        </is>
      </c>
    </row>
    <row r="24">
      <c r="A24" t="inlineStr">
        <is>
          <t xml:space="preserve">Estimasi omzet</t>
        </is>
      </c>
      <c r="B24" s="2" t="n">
        <v>168000000</v>
      </c>
      <c r="C24" t="inlineStr">
        <is>
          <t xml:space="preserve">6000 botol dikali harga jual satuan</t>
        </is>
      </c>
    </row>
    <row r="25">
      <c r="A25" t="inlineStr">
        <is>
          <t xml:space="preserve">HPP (biaya total per botol)</t>
        </is>
      </c>
      <c r="B25" s="2">
        <f>ROUND(B23/6000,0)</f>
        <v>21808</v>
      </c>
      <c r="C25" t="inlineStr">
        <is>
          <t xml:space="preserve">Istilah HPP di aplikasi berarti biaya total per satuan, bukan hanya beban pokok penjualan</t>
        </is>
      </c>
    </row>
    <row r="26">
      <c r="A26" t="inlineStr">
        <is>
          <t xml:space="preserve">BEP produksi (titik impas)</t>
        </is>
      </c>
      <c r="B26" s="6">
        <f>ROUND(B23/28000,3)</f>
        <v>4673.214</v>
      </c>
      <c r="C26" t="inlineStr">
        <is>
          <t xml:space="preserve">Total biaya dibagi harga jual, dalam botol</t>
        </is>
      </c>
    </row>
    <row r="27">
      <c r="A27" t="inlineStr">
        <is>
          <t xml:space="preserve">BEP penjualan (omzet impas)</t>
        </is>
      </c>
      <c r="B27" s="2">
        <f>B23</f>
        <v>130850000</v>
      </c>
      <c r="C27" t="inlineStr">
        <is>
          <t xml:space="preserve">Sama dengan total biaya produksi</t>
        </is>
      </c>
    </row>
    <row r="28">
      <c r="A28" t="inlineStr">
        <is>
          <t xml:space="preserve">Laba bersih rencana</t>
        </is>
      </c>
      <c r="B28" s="2">
        <f>B24-B23</f>
        <v>37150000</v>
      </c>
    </row>
    <row r="29">
      <c r="A29" t="inlineStr">
        <is>
          <t xml:space="preserve">Margin laba bersih (persen)</t>
        </is>
      </c>
      <c r="B29" s="6">
        <f>ROUND(B28/B24*100,2)</f>
        <v>22.11</v>
      </c>
    </row>
    <row r="30">
      <c r="A30" s="4" t="inlineStr">
        <is>
          <t xml:space="preserve">B/C Ratio</t>
        </is>
      </c>
      <c r="B30" s="6">
        <f>ROUND(B24/B23,3)</f>
        <v>1.284</v>
      </c>
      <c r="C30" t="inlineStr">
        <is>
          <t xml:space="preserve">Layak bila lebih besar atau sama dengan 1,000</t>
        </is>
      </c>
    </row>
    <row r="31">
      <c r="A31" s="4" t="inlineStr">
        <is>
          <t xml:space="preserve">Status kelayakan</t>
        </is>
      </c>
      <c r="B31" s="4" t="inlineStr">
        <is>
          <t xml:space="preserve">LAYAK</t>
        </is>
      </c>
    </row>
    <row r="32"/>
    <row r="33">
      <c r="A33" s="4" t="inlineStr">
        <is>
          <t xml:space="preserve">C2. Jadwal kas rencana dan kebutuhan modal kerja</t>
        </is>
      </c>
    </row>
    <row r="34">
      <c r="A34" s="1" t="inlineStr">
        <is>
          <t xml:space="preserve">Bulan</t>
        </is>
      </c>
      <c r="B34" s="1" t="inlineStr">
        <is>
          <t xml:space="preserve">Arus Kas Operasi (Rp)</t>
        </is>
      </c>
      <c r="C34" s="1" t="inlineStr">
        <is>
          <t xml:space="preserve">Arus Kas Investasi (Rp)</t>
        </is>
      </c>
      <c r="D34" s="1" t="inlineStr">
        <is>
          <t xml:space="preserve">Arus Kas Bersih (Rp)</t>
        </is>
      </c>
      <c r="E34" s="1" t="inlineStr">
        <is>
          <t xml:space="preserve">Kas Kumulatif (Rp)</t>
        </is>
      </c>
    </row>
    <row r="35">
      <c r="A35" t="inlineStr">
        <is>
          <t xml:space="preserve">Februari 2026</t>
        </is>
      </c>
      <c r="B35" s="2" t="n">
        <v>-1850000</v>
      </c>
      <c r="C35" s="2" t="n">
        <v>-13000000</v>
      </c>
      <c r="D35" s="2">
        <f>B35+C35</f>
        <v>-14850000</v>
      </c>
      <c r="E35" s="2">
        <f>0+D35</f>
        <v>-14850000</v>
      </c>
    </row>
    <row r="36">
      <c r="A36" t="inlineStr">
        <is>
          <t xml:space="preserve">Maret 2026</t>
        </is>
      </c>
      <c r="B36" s="2" t="n">
        <v>13900000</v>
      </c>
      <c r="C36" s="2" t="n">
        <v>0</v>
      </c>
      <c r="D36" s="2">
        <f>B36+C36</f>
        <v>13900000</v>
      </c>
      <c r="E36" s="2">
        <f>E35+D36</f>
        <v>-950000</v>
      </c>
    </row>
    <row r="37">
      <c r="A37" t="inlineStr">
        <is>
          <t xml:space="preserve">April 2026</t>
        </is>
      </c>
      <c r="B37" s="2" t="n">
        <v>27900000</v>
      </c>
      <c r="C37" s="2" t="n">
        <v>0</v>
      </c>
      <c r="D37" s="2">
        <f>B37+C37</f>
        <v>27900000</v>
      </c>
      <c r="E37" s="2">
        <f>E36+D37</f>
        <v>26950000</v>
      </c>
    </row>
    <row r="38">
      <c r="A38" s="4" t="inlineStr">
        <is>
          <t xml:space="preserve">Titik terendah kas kumulatif</t>
        </is>
      </c>
      <c r="B38" s="5">
        <f>MIN(E35:E37)</f>
        <v>-14850000</v>
      </c>
      <c r="E38" t="inlineStr">
        <is>
          <t xml:space="preserve">Bulan pertama menanggung seluruh peralatan dan stok sebelum penjualan naik</t>
        </is>
      </c>
    </row>
    <row r="39">
      <c r="A39" s="4" t="inlineStr">
        <is>
          <t xml:space="preserve">Kebutuhan modal kerja rencana</t>
        </is>
      </c>
      <c r="B39" s="5">
        <f>MAX(-MIN(E35:E37),0)</f>
        <v>14850000</v>
      </c>
      <c r="E39" t="inlineStr">
        <is>
          <t xml:space="preserve">Ditutup oleh modal sendiri dan pinjaman pada parameter</t>
        </is>
      </c>
    </row>
    <row r="40"/>
    <row r="41">
      <c r="A41" s="4" t="inlineStr">
        <is>
          <t xml:space="preserve">D. Analisis kelayakan - buku Realisasi</t>
        </is>
      </c>
    </row>
    <row r="42">
      <c r="A42" s="1" t="inlineStr">
        <is>
          <t xml:space="preserve">Komponen</t>
        </is>
      </c>
      <c r="B42" s="1" t="inlineStr">
        <is>
          <t xml:space="preserve">Nilai</t>
        </is>
      </c>
      <c r="C42" s="1" t="inlineStr">
        <is>
          <t xml:space="preserve">Cara hitung</t>
        </is>
      </c>
    </row>
    <row r="43">
      <c r="A43" t="inlineStr">
        <is>
          <t xml:space="preserve">Total biaya produksi</t>
        </is>
      </c>
      <c r="B43" s="2" t="n">
        <v>133590000</v>
      </c>
      <c r="C43" t="inlineStr">
        <is>
          <t xml:space="preserve">Beban operasional Mankeu, sudah termasuk bunga</t>
        </is>
      </c>
    </row>
    <row r="44">
      <c r="A44" t="inlineStr">
        <is>
          <t xml:space="preserve">Omzet penjualan</t>
        </is>
      </c>
      <c r="B44" s="2" t="n">
        <v>149240000</v>
      </c>
      <c r="C44" t="inlineStr">
        <is>
          <t xml:space="preserve">5330 botol terjual dikali harga jual satuan</t>
        </is>
      </c>
    </row>
    <row r="45">
      <c r="A45" t="inlineStr">
        <is>
          <t xml:space="preserve">HPP (biaya total per botol)</t>
        </is>
      </c>
      <c r="B45" s="2">
        <f>ROUND(B43/5330,0)</f>
        <v>25064</v>
      </c>
    </row>
    <row r="46">
      <c r="A46" t="inlineStr">
        <is>
          <t xml:space="preserve">BEP produksi (titik impas)</t>
        </is>
      </c>
      <c r="B46" s="6">
        <f>ROUND(B43/28000,3)</f>
        <v>4771.071</v>
      </c>
    </row>
    <row r="47">
      <c r="A47" t="inlineStr">
        <is>
          <t xml:space="preserve">BEP penjualan (omzet impas)</t>
        </is>
      </c>
      <c r="B47" s="2" t="n">
        <v>133590000</v>
      </c>
    </row>
    <row r="48">
      <c r="A48" t="inlineStr">
        <is>
          <t xml:space="preserve">Laba bersih</t>
        </is>
      </c>
      <c r="B48" s="2">
        <f>B44-B43</f>
        <v>15650000</v>
      </c>
    </row>
    <row r="49">
      <c r="A49" t="inlineStr">
        <is>
          <t xml:space="preserve">Margin laba bersih (persen)</t>
        </is>
      </c>
      <c r="B49" s="6">
        <f>ROUND(B48/B44*100,2)</f>
        <v>10.49</v>
      </c>
    </row>
    <row r="50">
      <c r="A50" s="4" t="inlineStr">
        <is>
          <t xml:space="preserve">B/C Ratio</t>
        </is>
      </c>
      <c r="B50" s="6">
        <f>ROUND(B44/B43,3)</f>
        <v>1.117</v>
      </c>
    </row>
    <row r="51">
      <c r="A51" s="4" t="inlineStr">
        <is>
          <t xml:space="preserve">Status kelayakan</t>
        </is>
      </c>
      <c r="B51" s="4" t="inlineStr">
        <is>
          <t xml:space="preserve">LAYAK</t>
        </is>
      </c>
    </row>
    <row r="52"/>
    <row r="53">
      <c r="A53" s="4" t="inlineStr">
        <is>
          <t xml:space="preserve">E. Realisasi terhadap rencana</t>
        </is>
      </c>
    </row>
    <row r="54">
      <c r="A54" s="1" t="inlineStr">
        <is>
          <t xml:space="preserve">Komponen</t>
        </is>
      </c>
      <c r="B54" s="1" t="inlineStr">
        <is>
          <t xml:space="preserve">Rencana (Rp)</t>
        </is>
      </c>
      <c r="C54" s="1" t="inlineStr">
        <is>
          <t xml:space="preserve">Realisasi (Rp)</t>
        </is>
      </c>
      <c r="D54" s="1" t="inlineStr">
        <is>
          <t xml:space="preserve">Selisih (Rp)</t>
        </is>
      </c>
    </row>
    <row r="55">
      <c r="A55" t="inlineStr">
        <is>
          <t xml:space="preserve">Omzet penjualan</t>
        </is>
      </c>
      <c r="B55" s="2" t="n">
        <v>168000000</v>
      </c>
      <c r="C55" s="2" t="n">
        <v>149240000</v>
      </c>
      <c r="D55" s="2">
        <f>C55-B55</f>
        <v>-18760000</v>
      </c>
    </row>
    <row r="56">
      <c r="A56" t="inlineStr">
        <is>
          <t xml:space="preserve">Total biaya produksi</t>
        </is>
      </c>
      <c r="B56" s="2" t="n">
        <v>130850000</v>
      </c>
      <c r="C56" s="2" t="n">
        <v>133590000</v>
      </c>
      <c r="D56" s="2">
        <f>C56-B56</f>
        <v>2740000</v>
      </c>
    </row>
    <row r="57">
      <c r="A57" t="inlineStr">
        <is>
          <t xml:space="preserve">Laba bersih</t>
        </is>
      </c>
      <c r="B57" s="2" t="n">
        <v>37150000</v>
      </c>
      <c r="C57" s="2" t="n">
        <v>15650000</v>
      </c>
      <c r="D57" s="2">
        <f>C57-B57</f>
        <v>-21500000</v>
      </c>
    </row>
    <row r="58">
      <c r="A58" t="inlineStr">
        <is>
          <t xml:space="preserve">Belanja peralatan</t>
        </is>
      </c>
      <c r="B58" s="2" t="n">
        <v>13000000</v>
      </c>
      <c r="C58" s="2" t="n">
        <v>16200000</v>
      </c>
      <c r="D58" s="2">
        <f>C58-B58</f>
        <v>3200000</v>
      </c>
    </row>
  </sheetData>
</worksheet>
</file>